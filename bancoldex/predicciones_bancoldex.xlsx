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icardomfon/mundial-2026/bancoldex/"/>
    </mc:Choice>
  </mc:AlternateContent>
  <xr:revisionPtr revIDLastSave="0" documentId="13_ncr:1_{F8F3008D-90F2-664A-AB06-780B3544F1A7}" xr6:coauthVersionLast="47" xr6:coauthVersionMax="47" xr10:uidLastSave="{00000000-0000-0000-0000-000000000000}"/>
  <bookViews>
    <workbookView xWindow="0" yWindow="640" windowWidth="29400" windowHeight="16980" xr2:uid="{00000000-000D-0000-FFFF-FFFF00000000}"/>
  </bookViews>
  <sheets>
    <sheet name="Predic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6" i="1" l="1"/>
  <c r="D206" i="1"/>
  <c r="H203" i="1"/>
  <c r="D203" i="1"/>
  <c r="H200" i="1"/>
  <c r="D200" i="1"/>
  <c r="H199" i="1"/>
  <c r="D199" i="1"/>
  <c r="H196" i="1"/>
  <c r="D196" i="1"/>
  <c r="H195" i="1"/>
  <c r="D195" i="1"/>
  <c r="H194" i="1"/>
  <c r="D194" i="1"/>
  <c r="H193" i="1"/>
  <c r="D193" i="1"/>
  <c r="H190" i="1"/>
  <c r="D190" i="1"/>
  <c r="H189" i="1"/>
  <c r="D189" i="1"/>
  <c r="H188" i="1"/>
  <c r="D188" i="1"/>
  <c r="H187" i="1"/>
  <c r="D187" i="1"/>
  <c r="H186" i="1"/>
  <c r="D186" i="1"/>
  <c r="H185" i="1"/>
  <c r="D185" i="1"/>
  <c r="H184" i="1"/>
  <c r="D184" i="1"/>
  <c r="H183" i="1"/>
  <c r="D183" i="1"/>
  <c r="M158" i="1"/>
  <c r="M145" i="1"/>
  <c r="N145" i="1" s="1"/>
  <c r="O145" i="1" s="1"/>
  <c r="L145" i="1"/>
  <c r="K145" i="1"/>
  <c r="M144" i="1"/>
  <c r="L144" i="1"/>
  <c r="K144" i="1"/>
  <c r="M143" i="1"/>
  <c r="L143" i="1"/>
  <c r="N143" i="1" s="1"/>
  <c r="K143" i="1"/>
  <c r="D176" i="1" s="1"/>
  <c r="M142" i="1"/>
  <c r="L142" i="1"/>
  <c r="N142" i="1" s="1"/>
  <c r="K142" i="1"/>
  <c r="M133" i="1"/>
  <c r="L133" i="1"/>
  <c r="N133" i="1" s="1"/>
  <c r="O133" i="1" s="1"/>
  <c r="K133" i="1"/>
  <c r="M132" i="1"/>
  <c r="L132" i="1"/>
  <c r="N132" i="1" s="1"/>
  <c r="K132" i="1"/>
  <c r="M131" i="1"/>
  <c r="L131" i="1"/>
  <c r="N131" i="1" s="1"/>
  <c r="K131" i="1"/>
  <c r="M130" i="1"/>
  <c r="N130" i="1" s="1"/>
  <c r="L130" i="1"/>
  <c r="K130" i="1"/>
  <c r="M121" i="1"/>
  <c r="L121" i="1"/>
  <c r="N121" i="1" s="1"/>
  <c r="O121" i="1" s="1"/>
  <c r="K121" i="1"/>
  <c r="M120" i="1"/>
  <c r="L120" i="1"/>
  <c r="N120" i="1" s="1"/>
  <c r="K120" i="1"/>
  <c r="M119" i="1"/>
  <c r="L119" i="1"/>
  <c r="N119" i="1" s="1"/>
  <c r="K119" i="1"/>
  <c r="M118" i="1"/>
  <c r="L118" i="1"/>
  <c r="N118" i="1" s="1"/>
  <c r="K118" i="1"/>
  <c r="L159" i="1" s="1"/>
  <c r="M109" i="1"/>
  <c r="L109" i="1"/>
  <c r="N109" i="1" s="1"/>
  <c r="O109" i="1" s="1"/>
  <c r="K109" i="1"/>
  <c r="M108" i="1"/>
  <c r="L108" i="1"/>
  <c r="N108" i="1" s="1"/>
  <c r="K108" i="1"/>
  <c r="O108" i="1" s="1"/>
  <c r="M107" i="1"/>
  <c r="L107" i="1"/>
  <c r="K107" i="1"/>
  <c r="M106" i="1"/>
  <c r="L106" i="1"/>
  <c r="N106" i="1" s="1"/>
  <c r="K106" i="1"/>
  <c r="M97" i="1"/>
  <c r="N97" i="1" s="1"/>
  <c r="O97" i="1" s="1"/>
  <c r="L97" i="1"/>
  <c r="K97" i="1"/>
  <c r="M96" i="1"/>
  <c r="L96" i="1"/>
  <c r="K96" i="1"/>
  <c r="M95" i="1"/>
  <c r="L95" i="1"/>
  <c r="N95" i="1" s="1"/>
  <c r="K95" i="1"/>
  <c r="M94" i="1"/>
  <c r="L94" i="1"/>
  <c r="K94" i="1"/>
  <c r="M85" i="1"/>
  <c r="L85" i="1"/>
  <c r="N85" i="1" s="1"/>
  <c r="O85" i="1" s="1"/>
  <c r="K85" i="1"/>
  <c r="M84" i="1"/>
  <c r="L84" i="1"/>
  <c r="K84" i="1"/>
  <c r="M83" i="1"/>
  <c r="L83" i="1"/>
  <c r="K83" i="1"/>
  <c r="M82" i="1"/>
  <c r="L82" i="1"/>
  <c r="N82" i="1" s="1"/>
  <c r="K82" i="1"/>
  <c r="K156" i="1" s="1"/>
  <c r="M73" i="1"/>
  <c r="L73" i="1"/>
  <c r="N73" i="1" s="1"/>
  <c r="O73" i="1" s="1"/>
  <c r="K73" i="1"/>
  <c r="M72" i="1"/>
  <c r="L72" i="1"/>
  <c r="N72" i="1" s="1"/>
  <c r="K72" i="1"/>
  <c r="M71" i="1"/>
  <c r="L71" i="1"/>
  <c r="N71" i="1" s="1"/>
  <c r="K71" i="1"/>
  <c r="O71" i="1" s="1"/>
  <c r="M70" i="1"/>
  <c r="L70" i="1"/>
  <c r="N70" i="1" s="1"/>
  <c r="K70" i="1"/>
  <c r="J155" i="1" s="1"/>
  <c r="N61" i="1"/>
  <c r="O61" i="1" s="1"/>
  <c r="M61" i="1"/>
  <c r="L61" i="1"/>
  <c r="K61" i="1"/>
  <c r="M60" i="1"/>
  <c r="L60" i="1"/>
  <c r="N60" i="1" s="1"/>
  <c r="K60" i="1"/>
  <c r="M59" i="1"/>
  <c r="L59" i="1"/>
  <c r="K59" i="1"/>
  <c r="M58" i="1"/>
  <c r="L58" i="1"/>
  <c r="N58" i="1" s="1"/>
  <c r="K58" i="1"/>
  <c r="M49" i="1"/>
  <c r="L49" i="1"/>
  <c r="N49" i="1" s="1"/>
  <c r="O49" i="1" s="1"/>
  <c r="K49" i="1"/>
  <c r="M48" i="1"/>
  <c r="L48" i="1"/>
  <c r="N48" i="1" s="1"/>
  <c r="K48" i="1"/>
  <c r="M47" i="1"/>
  <c r="L47" i="1"/>
  <c r="N47" i="1" s="1"/>
  <c r="K47" i="1"/>
  <c r="O153" i="1" s="1"/>
  <c r="N46" i="1"/>
  <c r="M46" i="1"/>
  <c r="L46" i="1"/>
  <c r="K46" i="1"/>
  <c r="M37" i="1"/>
  <c r="L37" i="1"/>
  <c r="N37" i="1" s="1"/>
  <c r="O37" i="1" s="1"/>
  <c r="K37" i="1"/>
  <c r="M36" i="1"/>
  <c r="L36" i="1"/>
  <c r="K36" i="1"/>
  <c r="M35" i="1"/>
  <c r="L35" i="1"/>
  <c r="N35" i="1" s="1"/>
  <c r="K35" i="1"/>
  <c r="M34" i="1"/>
  <c r="L34" i="1"/>
  <c r="N34" i="1" s="1"/>
  <c r="K34" i="1"/>
  <c r="M25" i="1"/>
  <c r="L25" i="1"/>
  <c r="K25" i="1"/>
  <c r="M24" i="1"/>
  <c r="L24" i="1"/>
  <c r="K24" i="1"/>
  <c r="M23" i="1"/>
  <c r="L23" i="1"/>
  <c r="K23" i="1"/>
  <c r="M22" i="1"/>
  <c r="L22" i="1"/>
  <c r="K22" i="1"/>
  <c r="M13" i="1"/>
  <c r="L13" i="1"/>
  <c r="K13" i="1"/>
  <c r="M12" i="1"/>
  <c r="L12" i="1"/>
  <c r="K12" i="1"/>
  <c r="M11" i="1"/>
  <c r="L11" i="1"/>
  <c r="K11" i="1"/>
  <c r="M10" i="1"/>
  <c r="L10" i="1"/>
  <c r="K10" i="1"/>
  <c r="N59" i="1" l="1"/>
  <c r="N160" i="1"/>
  <c r="N152" i="1"/>
  <c r="O144" i="1"/>
  <c r="O160" i="1"/>
  <c r="O48" i="1"/>
  <c r="N83" i="1"/>
  <c r="N96" i="1"/>
  <c r="O96" i="1" s="1"/>
  <c r="M159" i="1"/>
  <c r="N161" i="1"/>
  <c r="N144" i="1"/>
  <c r="J161" i="1"/>
  <c r="H167" i="1"/>
  <c r="O158" i="1"/>
  <c r="H175" i="1"/>
  <c r="N159" i="1"/>
  <c r="H171" i="1"/>
  <c r="O60" i="1"/>
  <c r="N153" i="1"/>
  <c r="L158" i="1"/>
  <c r="M160" i="1"/>
  <c r="H173" i="1"/>
  <c r="J153" i="1"/>
  <c r="D168" i="1"/>
  <c r="K154" i="1"/>
  <c r="L155" i="1"/>
  <c r="H172" i="1"/>
  <c r="M152" i="1"/>
  <c r="N36" i="1"/>
  <c r="O36" i="1" s="1"/>
  <c r="O156" i="1"/>
  <c r="N84" i="1"/>
  <c r="N107" i="1"/>
  <c r="O107" i="1" s="1"/>
  <c r="P107" i="1" s="1"/>
  <c r="M156" i="1"/>
  <c r="H176" i="1"/>
  <c r="N94" i="1"/>
  <c r="N22" i="1"/>
  <c r="O22" i="1" s="1"/>
  <c r="N23" i="1"/>
  <c r="O23" i="1" s="1"/>
  <c r="N25" i="1"/>
  <c r="O25" i="1" s="1"/>
  <c r="N13" i="1"/>
  <c r="O13" i="1" s="1"/>
  <c r="N11" i="1"/>
  <c r="O11" i="1" s="1"/>
  <c r="N24" i="1"/>
  <c r="O24" i="1" s="1"/>
  <c r="N10" i="1"/>
  <c r="O10" i="1" s="1"/>
  <c r="N12" i="1"/>
  <c r="O12" i="1" s="1"/>
  <c r="P145" i="1"/>
  <c r="O84" i="1"/>
  <c r="O132" i="1"/>
  <c r="O59" i="1"/>
  <c r="P133" i="1"/>
  <c r="P144" i="1"/>
  <c r="O72" i="1"/>
  <c r="O120" i="1"/>
  <c r="O152" i="1"/>
  <c r="O34" i="1"/>
  <c r="O46" i="1"/>
  <c r="O58" i="1"/>
  <c r="O70" i="1"/>
  <c r="P70" i="1" s="1"/>
  <c r="O82" i="1"/>
  <c r="O94" i="1"/>
  <c r="O106" i="1"/>
  <c r="O118" i="1"/>
  <c r="O130" i="1"/>
  <c r="O142" i="1"/>
  <c r="J154" i="1"/>
  <c r="K155" i="1"/>
  <c r="L156" i="1"/>
  <c r="N158" i="1"/>
  <c r="O159" i="1"/>
  <c r="D173" i="1"/>
  <c r="J152" i="1"/>
  <c r="K153" i="1"/>
  <c r="L154" i="1"/>
  <c r="M155" i="1"/>
  <c r="N156" i="1"/>
  <c r="J160" i="1"/>
  <c r="K161" i="1"/>
  <c r="D166" i="1"/>
  <c r="D170" i="1"/>
  <c r="D174" i="1"/>
  <c r="K152" i="1"/>
  <c r="L153" i="1"/>
  <c r="M154" i="1"/>
  <c r="N155" i="1"/>
  <c r="J159" i="1"/>
  <c r="K160" i="1"/>
  <c r="L161" i="1"/>
  <c r="H166" i="1"/>
  <c r="H170" i="1"/>
  <c r="H174" i="1"/>
  <c r="L152" i="1"/>
  <c r="M153" i="1"/>
  <c r="N154" i="1"/>
  <c r="O155" i="1"/>
  <c r="J158" i="1"/>
  <c r="K159" i="1"/>
  <c r="L160" i="1"/>
  <c r="M161" i="1"/>
  <c r="D167" i="1"/>
  <c r="D171" i="1"/>
  <c r="D175" i="1"/>
  <c r="O154" i="1"/>
  <c r="K158" i="1"/>
  <c r="O35" i="1"/>
  <c r="O47" i="1"/>
  <c r="O83" i="1"/>
  <c r="O95" i="1"/>
  <c r="O119" i="1"/>
  <c r="O131" i="1"/>
  <c r="O143" i="1"/>
  <c r="J156" i="1"/>
  <c r="O161" i="1"/>
  <c r="P108" i="1" l="1"/>
  <c r="P94" i="1"/>
  <c r="P120" i="1"/>
  <c r="P109" i="1"/>
  <c r="P83" i="1"/>
  <c r="P35" i="1"/>
  <c r="P59" i="1"/>
  <c r="P47" i="1"/>
  <c r="P142" i="1"/>
  <c r="P132" i="1"/>
  <c r="P12" i="1"/>
  <c r="P23" i="1"/>
  <c r="P11" i="1"/>
  <c r="H168" i="1"/>
  <c r="P60" i="1"/>
  <c r="P82" i="1"/>
  <c r="P143" i="1"/>
  <c r="P58" i="1"/>
  <c r="P72" i="1"/>
  <c r="P85" i="1"/>
  <c r="P84" i="1"/>
  <c r="P131" i="1"/>
  <c r="P46" i="1"/>
  <c r="P61" i="1"/>
  <c r="P48" i="1"/>
  <c r="P73" i="1"/>
  <c r="P97" i="1"/>
  <c r="P119" i="1"/>
  <c r="P130" i="1"/>
  <c r="P34" i="1"/>
  <c r="P24" i="1"/>
  <c r="P37" i="1"/>
  <c r="P36" i="1"/>
  <c r="P49" i="1"/>
  <c r="P121" i="1"/>
  <c r="P118" i="1"/>
  <c r="P22" i="1"/>
  <c r="P13" i="1"/>
  <c r="P25" i="1"/>
  <c r="P96" i="1"/>
  <c r="P95" i="1"/>
  <c r="L157" i="1" s="1"/>
  <c r="P106" i="1"/>
  <c r="P10" i="1"/>
  <c r="P71" i="1"/>
  <c r="H165" i="1" l="1"/>
  <c r="L151" i="1"/>
  <c r="M151" i="1"/>
  <c r="J151" i="1"/>
  <c r="K151" i="1"/>
  <c r="D169" i="1"/>
  <c r="K150" i="1"/>
  <c r="D165" i="1"/>
  <c r="J150" i="1"/>
  <c r="L150" i="1"/>
  <c r="H169" i="1"/>
  <c r="M150" i="1"/>
  <c r="J157" i="1"/>
  <c r="M157" i="1"/>
  <c r="N157" i="1" s="1"/>
  <c r="K157" i="1"/>
  <c r="D172" i="1"/>
  <c r="N150" i="1" l="1"/>
  <c r="N151" i="1"/>
  <c r="O151" i="1" s="1"/>
  <c r="O150" i="1"/>
  <c r="O157" i="1"/>
  <c r="H179" i="1" l="1"/>
  <c r="H178" i="1"/>
  <c r="P156" i="1"/>
  <c r="P161" i="1"/>
  <c r="P153" i="1"/>
  <c r="P152" i="1"/>
  <c r="P160" i="1"/>
  <c r="H180" i="1"/>
  <c r="P151" i="1"/>
  <c r="P159" i="1"/>
  <c r="P150" i="1"/>
  <c r="D180" i="1"/>
  <c r="D179" i="1"/>
  <c r="P154" i="1"/>
  <c r="P155" i="1"/>
  <c r="P157" i="1"/>
  <c r="P158" i="1"/>
  <c r="H177" i="1" l="1"/>
  <c r="D178" i="1"/>
  <c r="D177" i="1"/>
</calcChain>
</file>

<file path=xl/sharedStrings.xml><?xml version="1.0" encoding="utf-8"?>
<sst xmlns="http://schemas.openxmlformats.org/spreadsheetml/2006/main" count="557" uniqueCount="179">
  <si>
    <t>⚽  POLLA MUNDIAL 2026  –  BANCOLDEX</t>
  </si>
  <si>
    <t>Tu nombre:</t>
  </si>
  <si>
    <t>Nº</t>
  </si>
  <si>
    <t>Fecha</t>
  </si>
  <si>
    <t>Hora</t>
  </si>
  <si>
    <t>Equipo local</t>
  </si>
  <si>
    <t>← tu pred</t>
  </si>
  <si>
    <t>vs</t>
  </si>
  <si>
    <t>tu pred →</t>
  </si>
  <si>
    <t>Equipo visit.</t>
  </si>
  <si>
    <t>Penaltis (si empate)</t>
  </si>
  <si>
    <t>Clasificación</t>
  </si>
  <si>
    <t>Pts</t>
  </si>
  <si>
    <t>GF</t>
  </si>
  <si>
    <t>GC</t>
  </si>
  <si>
    <t>DG</t>
  </si>
  <si>
    <t xml:space="preserve">  GRUPO A</t>
  </si>
  <si>
    <t>Clasificación Grupo A</t>
  </si>
  <si>
    <t>Fri 12 Jun</t>
  </si>
  <si>
    <t>02:00</t>
  </si>
  <si>
    <t>Chequia</t>
  </si>
  <si>
    <t>Corea del Sur</t>
  </si>
  <si>
    <t>Thu 11 Jun</t>
  </si>
  <si>
    <t>19:00</t>
  </si>
  <si>
    <t>México</t>
  </si>
  <si>
    <t>Sudáfrica</t>
  </si>
  <si>
    <t>Thu 25 Jun</t>
  </si>
  <si>
    <t>01:00</t>
  </si>
  <si>
    <t>Thu 18 Jun</t>
  </si>
  <si>
    <t>16:00</t>
  </si>
  <si>
    <t>Fri 19 Jun</t>
  </si>
  <si>
    <t xml:space="preserve">  GRUPO B</t>
  </si>
  <si>
    <t>Clasificación Grupo B</t>
  </si>
  <si>
    <t>Bosnia y Herzegovina</t>
  </si>
  <si>
    <t>Canadá</t>
  </si>
  <si>
    <t>Sat 13 Jun</t>
  </si>
  <si>
    <t>Qatar</t>
  </si>
  <si>
    <t>Suiza</t>
  </si>
  <si>
    <t>Wed 24 Jun</t>
  </si>
  <si>
    <t>22:00</t>
  </si>
  <si>
    <t xml:space="preserve">  GRUPO C</t>
  </si>
  <si>
    <t>Clasificación Grupo C</t>
  </si>
  <si>
    <t>Brasil</t>
  </si>
  <si>
    <t>Escocia</t>
  </si>
  <si>
    <t>Haití</t>
  </si>
  <si>
    <t>Marruecos</t>
  </si>
  <si>
    <t>Sat 20 Jun</t>
  </si>
  <si>
    <t>00:30</t>
  </si>
  <si>
    <t>Sun 14 Jun</t>
  </si>
  <si>
    <t xml:space="preserve">  GRUPO D</t>
  </si>
  <si>
    <t>Clasificación Grupo D</t>
  </si>
  <si>
    <t>Australia</t>
  </si>
  <si>
    <t>Estados Unidos</t>
  </si>
  <si>
    <t>03:00</t>
  </si>
  <si>
    <t>Paraguay</t>
  </si>
  <si>
    <t>Turquía</t>
  </si>
  <si>
    <t>Fri 26 Jun</t>
  </si>
  <si>
    <t>04:00</t>
  </si>
  <si>
    <t xml:space="preserve">  GRUPO E</t>
  </si>
  <si>
    <t>Clasificación Grupo E</t>
  </si>
  <si>
    <t>20:00</t>
  </si>
  <si>
    <t>Alemania</t>
  </si>
  <si>
    <t>Costa de Marfil</t>
  </si>
  <si>
    <t>Sun 21 Jun</t>
  </si>
  <si>
    <t>00:00</t>
  </si>
  <si>
    <t>Curazao</t>
  </si>
  <si>
    <t>Ecuador</t>
  </si>
  <si>
    <t>17:00</t>
  </si>
  <si>
    <t>23:00</t>
  </si>
  <si>
    <t xml:space="preserve">  GRUPO F</t>
  </si>
  <si>
    <t>Clasificación Grupo F</t>
  </si>
  <si>
    <t>Japón</t>
  </si>
  <si>
    <t>Países Bajos</t>
  </si>
  <si>
    <t>Mon 15 Jun</t>
  </si>
  <si>
    <t>Suecia</t>
  </si>
  <si>
    <t>Túnez</t>
  </si>
  <si>
    <t xml:space="preserve">  GRUPO G</t>
  </si>
  <si>
    <t>Clasificación Grupo G</t>
  </si>
  <si>
    <t>Bélgica</t>
  </si>
  <si>
    <t>Egipto</t>
  </si>
  <si>
    <t>Tue 16 Jun</t>
  </si>
  <si>
    <t>Irán</t>
  </si>
  <si>
    <t>Nueva Zelanda</t>
  </si>
  <si>
    <t>Mon 22 Jun</t>
  </si>
  <si>
    <t>Sat 27 Jun</t>
  </si>
  <si>
    <t xml:space="preserve">  GRUPO H</t>
  </si>
  <si>
    <t>Clasificación Grupo H</t>
  </si>
  <si>
    <t>Arabia Saudita</t>
  </si>
  <si>
    <t>Cabo Verde</t>
  </si>
  <si>
    <t>España</t>
  </si>
  <si>
    <t>Uruguay</t>
  </si>
  <si>
    <t xml:space="preserve">  GRUPO I</t>
  </si>
  <si>
    <t>Clasificación Grupo I</t>
  </si>
  <si>
    <t>21:00</t>
  </si>
  <si>
    <t>Francia</t>
  </si>
  <si>
    <t>Irak</t>
  </si>
  <si>
    <t>Tue 23 Jun</t>
  </si>
  <si>
    <t>Noruega</t>
  </si>
  <si>
    <t>Senegal</t>
  </si>
  <si>
    <t xml:space="preserve">  GRUPO J</t>
  </si>
  <si>
    <t>Clasificación Grupo J</t>
  </si>
  <si>
    <t>Wed 17 Jun</t>
  </si>
  <si>
    <t>Argelia</t>
  </si>
  <si>
    <t>Argentina</t>
  </si>
  <si>
    <t>Austria</t>
  </si>
  <si>
    <t>Jordania</t>
  </si>
  <si>
    <t>Sun 28 Jun</t>
  </si>
  <si>
    <t xml:space="preserve">  GRUPO K</t>
  </si>
  <si>
    <t>Clasificación Grupo K</t>
  </si>
  <si>
    <t>23:30</t>
  </si>
  <si>
    <t>Colombia</t>
  </si>
  <si>
    <t>Portugal</t>
  </si>
  <si>
    <t>RD Congo</t>
  </si>
  <si>
    <t>Uzbekistán</t>
  </si>
  <si>
    <t xml:space="preserve">  GRUPO L</t>
  </si>
  <si>
    <t>Clasificación Grupo L</t>
  </si>
  <si>
    <t>Croacia</t>
  </si>
  <si>
    <t>Ghana</t>
  </si>
  <si>
    <t>Inglaterra</t>
  </si>
  <si>
    <t>Panamá</t>
  </si>
  <si>
    <t xml:space="preserve">  MEJORES TERCEROS — ranking de los 12 grupos (top 8 clasifican a 16avos)</t>
  </si>
  <si>
    <t>Top 8 van a 16avos  |  🟢 clasifica  🔵 posible 3°</t>
  </si>
  <si>
    <t>Equipo (3°)</t>
  </si>
  <si>
    <t>GA</t>
  </si>
  <si>
    <t>GB</t>
  </si>
  <si>
    <t>GD</t>
  </si>
  <si>
    <t>GE</t>
  </si>
  <si>
    <t>GG</t>
  </si>
  <si>
    <t>GH</t>
  </si>
  <si>
    <t>GI</t>
  </si>
  <si>
    <t>GJ</t>
  </si>
  <si>
    <t>GK</t>
  </si>
  <si>
    <t>GL</t>
  </si>
  <si>
    <t xml:space="preserve">  16AVOS DE FINAL</t>
  </si>
  <si>
    <t>Partido 1</t>
  </si>
  <si>
    <t>Partido 2</t>
  </si>
  <si>
    <t>Partido 3</t>
  </si>
  <si>
    <t>Partido 4</t>
  </si>
  <si>
    <t>Partido 5</t>
  </si>
  <si>
    <t>Partido 6</t>
  </si>
  <si>
    <t>Partido 7</t>
  </si>
  <si>
    <t>Partido 8</t>
  </si>
  <si>
    <t>Partido 9</t>
  </si>
  <si>
    <t>Partido 10</t>
  </si>
  <si>
    <t>Partido 11</t>
  </si>
  <si>
    <t>Partido 12</t>
  </si>
  <si>
    <t>Partido 13</t>
  </si>
  <si>
    <t>Partido 14</t>
  </si>
  <si>
    <t>Partido 15</t>
  </si>
  <si>
    <t>Partido 16</t>
  </si>
  <si>
    <t xml:space="preserve">  OCTAVOS DE FINAL</t>
  </si>
  <si>
    <t xml:space="preserve">  CUARTOS DE FINAL</t>
  </si>
  <si>
    <t xml:space="preserve">  SEMIFINALES</t>
  </si>
  <si>
    <t xml:space="preserve">  3ER Y 4TO PUESTO</t>
  </si>
  <si>
    <t xml:space="preserve">  🏆 GRAN FINAL</t>
  </si>
  <si>
    <t xml:space="preserve">  🟢 Clasifica a 16avos   🔵 Posible mejor 3°   🔴 Eliminado   🟣 Escribe ganador si predices empate en eliminatoria</t>
  </si>
  <si>
    <t>SISTEMA DE PUNTUACIÓN</t>
  </si>
  <si>
    <t>🎯 Marcador exacto</t>
  </si>
  <si>
    <t>4 pts</t>
  </si>
  <si>
    <t>✓+ Resultado + un marcador</t>
  </si>
  <si>
    <t>3 pts</t>
  </si>
  <si>
    <t>✓  Solo resultado correcto</t>
  </si>
  <si>
    <t>2 pts</t>
  </si>
  <si>
    <t>~  Un marcador, resultado mal</t>
  </si>
  <si>
    <t>1 pt</t>
  </si>
  <si>
    <t>✗  Ninguna</t>
  </si>
  <si>
    <t>0 pts</t>
  </si>
  <si>
    <t>Bonus 16avos de final</t>
  </si>
  <si>
    <t>+2 pts</t>
  </si>
  <si>
    <t>Bonus Octavos de final</t>
  </si>
  <si>
    <t>+3 pts</t>
  </si>
  <si>
    <t>Bonus Cuartos de final</t>
  </si>
  <si>
    <t>+4 pts</t>
  </si>
  <si>
    <t>Bonus Semifinales</t>
  </si>
  <si>
    <t>+5 pts</t>
  </si>
  <si>
    <t>Bonus 3er y 4to puesto</t>
  </si>
  <si>
    <t>+6 pts</t>
  </si>
  <si>
    <t>🏆 Bonus Campeón y subcampeón</t>
  </si>
  <si>
    <t>+7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</si>
</sst>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i/>
      <sz val="10"/>
      <color rgb="FF555555"/>
      <name val="Calibri"/>
      <family val="2"/>
    </font>
    <font>
      <b/>
      <sz val="9"/>
      <color rgb="FF555555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color rgb="FF888888"/>
      <name val="Calibri"/>
      <family val="2"/>
    </font>
    <font>
      <b/>
      <sz val="8"/>
      <color rgb="FF555555"/>
      <name val="Calibri"/>
      <family val="2"/>
    </font>
    <font>
      <sz val="9"/>
      <color rgb="FF111111"/>
      <name val="Calibri"/>
      <family val="2"/>
    </font>
    <font>
      <b/>
      <sz val="13"/>
      <color rgb="FF111111"/>
      <name val="Calibri"/>
      <family val="2"/>
    </font>
    <font>
      <b/>
      <sz val="9"/>
      <color rgb="FF111111"/>
      <name val="Calibri"/>
      <family val="2"/>
    </font>
    <font>
      <sz val="8"/>
      <color rgb="FFAAAAAA"/>
      <name val="Calibri"/>
      <family val="2"/>
    </font>
    <font>
      <b/>
      <sz val="11"/>
      <color rgb="FFFFFFFF"/>
      <name val="Calibri"/>
      <family val="2"/>
    </font>
    <font>
      <sz val="9"/>
      <color rgb="FF555555"/>
      <name val="Calibri"/>
      <family val="2"/>
    </font>
    <font>
      <b/>
      <i/>
      <sz val="9"/>
      <color rgb="FF222222"/>
      <name val="Calibri"/>
      <family val="2"/>
    </font>
    <font>
      <i/>
      <sz val="9"/>
      <color rgb="FF4A148C"/>
      <name val="Calibri"/>
      <family val="2"/>
    </font>
    <font>
      <i/>
      <sz val="8"/>
      <color rgb="FF555555"/>
      <name val="Calibri"/>
      <family val="2"/>
    </font>
    <font>
      <b/>
      <sz val="9"/>
      <color rgb="FFC9A84C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A5C2A"/>
      </patternFill>
    </fill>
    <fill>
      <patternFill patternType="solid">
        <fgColor rgb="FFFFFDE7"/>
      </patternFill>
    </fill>
    <fill>
      <patternFill patternType="solid">
        <fgColor rgb="FFE8E8E8"/>
      </patternFill>
    </fill>
    <fill>
      <patternFill patternType="solid">
        <fgColor rgb="FF2D7A3F"/>
      </patternFill>
    </fill>
    <fill>
      <patternFill patternType="solid">
        <fgColor rgb="FFC9A84C"/>
      </patternFill>
    </fill>
    <fill>
      <patternFill patternType="solid">
        <fgColor rgb="FFF5F5F5"/>
      </patternFill>
    </fill>
    <fill>
      <patternFill patternType="solid">
        <fgColor rgb="FF7B1FA2"/>
      </patternFill>
    </fill>
    <fill>
      <patternFill patternType="solid">
        <fgColor rgb="FF3D8B50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FFE3F0FF"/>
      </patternFill>
    </fill>
    <fill>
      <patternFill patternType="solid">
        <fgColor rgb="FFEDE7F6"/>
      </patternFill>
    </fill>
    <fill>
      <patternFill patternType="solid">
        <fgColor rgb="FF6A1F8A"/>
      </patternFill>
    </fill>
    <fill>
      <patternFill patternType="solid">
        <fgColor rgb="FFF3E5F5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4E342E"/>
      </patternFill>
    </fill>
    <fill>
      <patternFill patternType="solid">
        <fgColor rgb="FFEFEBE9"/>
      </patternFill>
    </fill>
  </fills>
  <borders count="4">
    <border>
      <left/>
      <right/>
      <top/>
      <bottom/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E93D8"/>
      </left>
      <right style="thin">
        <color rgb="FFCE93D8"/>
      </right>
      <top style="thin">
        <color rgb="FFCE93D8"/>
      </top>
      <bottom style="thin">
        <color rgb="FFCE93D8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right" vertical="center"/>
    </xf>
    <xf numFmtId="0" fontId="0" fillId="7" borderId="2" xfId="0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left" vertical="center"/>
    </xf>
    <xf numFmtId="0" fontId="12" fillId="0" borderId="0" xfId="0" applyFont="1"/>
    <xf numFmtId="0" fontId="9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left" vertical="center"/>
    </xf>
    <xf numFmtId="0" fontId="15" fillId="14" borderId="2" xfId="0" applyFont="1" applyFill="1" applyBorder="1" applyAlignment="1">
      <alignment horizontal="right" vertical="center"/>
    </xf>
    <xf numFmtId="0" fontId="15" fillId="14" borderId="2" xfId="0" applyFont="1" applyFill="1" applyBorder="1" applyAlignment="1">
      <alignment horizontal="left" vertical="center"/>
    </xf>
    <xf numFmtId="0" fontId="14" fillId="17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left" vertical="center"/>
    </xf>
    <xf numFmtId="0" fontId="15" fillId="17" borderId="2" xfId="0" applyFont="1" applyFill="1" applyBorder="1" applyAlignment="1">
      <alignment horizontal="right" vertical="center"/>
    </xf>
    <xf numFmtId="0" fontId="15" fillId="17" borderId="2" xfId="0" applyFont="1" applyFill="1" applyBorder="1" applyAlignment="1">
      <alignment horizontal="left" vertical="center"/>
    </xf>
    <xf numFmtId="0" fontId="14" fillId="19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left" vertical="center"/>
    </xf>
    <xf numFmtId="0" fontId="15" fillId="19" borderId="2" xfId="0" applyFont="1" applyFill="1" applyBorder="1" applyAlignment="1">
      <alignment horizontal="right" vertical="center"/>
    </xf>
    <xf numFmtId="0" fontId="15" fillId="19" borderId="2" xfId="0" applyFont="1" applyFill="1" applyBorder="1" applyAlignment="1">
      <alignment horizontal="left" vertical="center"/>
    </xf>
    <xf numFmtId="0" fontId="14" fillId="21" borderId="2" xfId="0" applyFont="1" applyFill="1" applyBorder="1" applyAlignment="1">
      <alignment horizontal="center" vertical="center"/>
    </xf>
    <xf numFmtId="0" fontId="14" fillId="21" borderId="2" xfId="0" applyFont="1" applyFill="1" applyBorder="1" applyAlignment="1">
      <alignment horizontal="left" vertical="center"/>
    </xf>
    <xf numFmtId="0" fontId="15" fillId="21" borderId="2" xfId="0" applyFont="1" applyFill="1" applyBorder="1" applyAlignment="1">
      <alignment horizontal="right" vertical="center"/>
    </xf>
    <xf numFmtId="0" fontId="15" fillId="21" borderId="2" xfId="0" applyFont="1" applyFill="1" applyBorder="1" applyAlignment="1">
      <alignment horizontal="left" vertical="center"/>
    </xf>
    <xf numFmtId="0" fontId="14" fillId="23" borderId="2" xfId="0" applyFont="1" applyFill="1" applyBorder="1" applyAlignment="1">
      <alignment horizontal="center" vertical="center"/>
    </xf>
    <xf numFmtId="0" fontId="14" fillId="23" borderId="2" xfId="0" applyFont="1" applyFill="1" applyBorder="1" applyAlignment="1">
      <alignment horizontal="left" vertical="center"/>
    </xf>
    <xf numFmtId="0" fontId="15" fillId="23" borderId="2" xfId="0" applyFont="1" applyFill="1" applyBorder="1" applyAlignment="1">
      <alignment horizontal="right" vertical="center"/>
    </xf>
    <xf numFmtId="0" fontId="15" fillId="23" borderId="2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left" vertical="center"/>
    </xf>
    <xf numFmtId="0" fontId="0" fillId="0" borderId="0" xfId="0"/>
    <xf numFmtId="0" fontId="5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left" vertical="center"/>
    </xf>
    <xf numFmtId="0" fontId="13" fillId="20" borderId="0" xfId="0" applyFont="1" applyFill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13" fillId="6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13" fillId="16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3" fillId="22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16" fillId="15" borderId="3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37"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3B3696-3170-7146-8D90-EB0AC659C40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3ada047-2d46-43fa-a12a-c76adae057d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3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H11" sqref="H11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3" width="8" customWidth="1"/>
    <col min="4" max="4" width="26" customWidth="1"/>
    <col min="5" max="5" width="6" customWidth="1"/>
    <col min="6" max="6" width="4" customWidth="1"/>
    <col min="7" max="7" width="6" customWidth="1"/>
    <col min="8" max="8" width="26" customWidth="1"/>
    <col min="9" max="9" width="20" customWidth="1"/>
    <col min="10" max="10" width="26" customWidth="1"/>
    <col min="11" max="13" width="5" customWidth="1"/>
    <col min="14" max="14" width="22" customWidth="1"/>
    <col min="15" max="15" width="5" hidden="1" customWidth="1"/>
    <col min="16" max="16" width="13" hidden="1" customWidth="1"/>
  </cols>
  <sheetData>
    <row r="1" spans="1:16" ht="28" customHeight="1" x14ac:dyDescent="0.2">
      <c r="A1" s="49" t="s">
        <v>0</v>
      </c>
      <c r="B1" s="47"/>
      <c r="C1" s="47"/>
      <c r="D1" s="47"/>
      <c r="E1" s="47"/>
      <c r="F1" s="47"/>
      <c r="G1" s="47"/>
      <c r="H1" s="47"/>
      <c r="I1" s="1"/>
      <c r="J1" s="54" t="s">
        <v>1</v>
      </c>
      <c r="K1" s="47"/>
      <c r="L1" s="47"/>
      <c r="M1" s="47"/>
      <c r="N1" s="65"/>
    </row>
    <row r="2" spans="1:16" ht="22" customHeight="1" x14ac:dyDescent="0.2">
      <c r="A2" s="2" t="s">
        <v>2</v>
      </c>
      <c r="B2" s="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4" t="s">
        <v>8</v>
      </c>
      <c r="H2" s="3" t="s">
        <v>9</v>
      </c>
      <c r="I2" s="6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</row>
    <row r="3" spans="1:16" ht="20" customHeight="1" x14ac:dyDescent="0.2">
      <c r="A3" s="46" t="s">
        <v>16</v>
      </c>
      <c r="B3" s="47"/>
      <c r="C3" s="47"/>
      <c r="D3" s="47"/>
      <c r="E3" s="47"/>
      <c r="F3" s="47"/>
      <c r="G3" s="47"/>
      <c r="H3" s="47"/>
      <c r="I3" s="47"/>
      <c r="J3" s="48" t="s">
        <v>17</v>
      </c>
      <c r="K3" s="47"/>
      <c r="L3" s="47"/>
      <c r="M3" s="47"/>
      <c r="N3" s="47"/>
      <c r="O3" s="47"/>
    </row>
    <row r="4" spans="1:16" ht="18" customHeight="1" x14ac:dyDescent="0.2">
      <c r="A4" s="8">
        <v>1</v>
      </c>
      <c r="B4" s="9" t="s">
        <v>18</v>
      </c>
      <c r="C4" s="8" t="s">
        <v>19</v>
      </c>
      <c r="D4" s="10" t="s">
        <v>20</v>
      </c>
      <c r="E4" s="63"/>
      <c r="F4" s="8" t="s">
        <v>7</v>
      </c>
      <c r="G4" s="63"/>
      <c r="H4" s="9" t="s">
        <v>21</v>
      </c>
      <c r="I4" s="11"/>
    </row>
    <row r="5" spans="1:16" ht="18" customHeight="1" x14ac:dyDescent="0.2">
      <c r="A5" s="12">
        <v>2</v>
      </c>
      <c r="B5" s="13" t="s">
        <v>22</v>
      </c>
      <c r="C5" s="12" t="s">
        <v>23</v>
      </c>
      <c r="D5" s="14" t="s">
        <v>24</v>
      </c>
      <c r="E5" s="63"/>
      <c r="F5" s="12" t="s">
        <v>7</v>
      </c>
      <c r="G5" s="63"/>
      <c r="H5" s="13" t="s">
        <v>25</v>
      </c>
      <c r="I5" s="11"/>
    </row>
    <row r="6" spans="1:16" ht="18" customHeight="1" x14ac:dyDescent="0.2">
      <c r="A6" s="8">
        <v>25</v>
      </c>
      <c r="B6" s="9" t="s">
        <v>26</v>
      </c>
      <c r="C6" s="8" t="s">
        <v>27</v>
      </c>
      <c r="D6" s="10" t="s">
        <v>20</v>
      </c>
      <c r="E6" s="63"/>
      <c r="F6" s="8" t="s">
        <v>7</v>
      </c>
      <c r="G6" s="63"/>
      <c r="H6" s="9" t="s">
        <v>24</v>
      </c>
      <c r="I6" s="11"/>
    </row>
    <row r="7" spans="1:16" ht="18" customHeight="1" x14ac:dyDescent="0.2">
      <c r="A7" s="12">
        <v>26</v>
      </c>
      <c r="B7" s="13" t="s">
        <v>26</v>
      </c>
      <c r="C7" s="12" t="s">
        <v>27</v>
      </c>
      <c r="D7" s="14" t="s">
        <v>21</v>
      </c>
      <c r="E7" s="63"/>
      <c r="F7" s="12" t="s">
        <v>7</v>
      </c>
      <c r="G7" s="63"/>
      <c r="H7" s="13" t="s">
        <v>25</v>
      </c>
      <c r="I7" s="11"/>
    </row>
    <row r="8" spans="1:16" ht="18" customHeight="1" x14ac:dyDescent="0.2">
      <c r="A8" s="8">
        <v>49</v>
      </c>
      <c r="B8" s="9" t="s">
        <v>28</v>
      </c>
      <c r="C8" s="8" t="s">
        <v>29</v>
      </c>
      <c r="D8" s="10" t="s">
        <v>20</v>
      </c>
      <c r="E8" s="63"/>
      <c r="F8" s="8" t="s">
        <v>7</v>
      </c>
      <c r="G8" s="63"/>
      <c r="H8" s="9" t="s">
        <v>25</v>
      </c>
      <c r="I8" s="11"/>
    </row>
    <row r="9" spans="1:16" ht="18" customHeight="1" x14ac:dyDescent="0.2">
      <c r="A9" s="12">
        <v>50</v>
      </c>
      <c r="B9" s="13" t="s">
        <v>30</v>
      </c>
      <c r="C9" s="12" t="s">
        <v>27</v>
      </c>
      <c r="D9" s="14" t="s">
        <v>21</v>
      </c>
      <c r="E9" s="63"/>
      <c r="F9" s="12" t="s">
        <v>7</v>
      </c>
      <c r="G9" s="63"/>
      <c r="H9" s="13" t="s">
        <v>24</v>
      </c>
      <c r="I9" s="11"/>
    </row>
    <row r="10" spans="1:16" ht="17" customHeight="1" x14ac:dyDescent="0.2">
      <c r="J10" s="15" t="s">
        <v>20</v>
      </c>
      <c r="K10" s="11">
        <f>IF(AND(ISNUMBER(E4),ISNUMBER(G4)),IF(E4&gt;G4,3,IF(E4=G4,1,0)),0)+IF(AND(ISNUMBER(E6),ISNUMBER(G6)),IF(E6&gt;G6,3,IF(E6=G6,1,0)),0)+IF(AND(ISNUMBER(E8),ISNUMBER(G8)),IF(E8&gt;G8,3,IF(E8=G8,1,0)),0)</f>
        <v>0</v>
      </c>
      <c r="L10" s="11">
        <f>IF(ISNUMBER(E4),E4,0)+IF(ISNUMBER(E6),E6,0)+IF(ISNUMBER(E8),E8,0)</f>
        <v>0</v>
      </c>
      <c r="M10" s="11">
        <f>IF(ISNUMBER(G4),G4,0)+IF(ISNUMBER(G6),G6,0)+IF(ISNUMBER(G8),G8,0)</f>
        <v>0</v>
      </c>
      <c r="N10" s="11">
        <f>L10-M10</f>
        <v>0</v>
      </c>
      <c r="O10" s="16">
        <f>K10*10000+N10*100+L10+0.001</f>
        <v>1E-3</v>
      </c>
      <c r="P10" s="16">
        <f>RANK(O10,O10:O13,0)</f>
        <v>4</v>
      </c>
    </row>
    <row r="11" spans="1:16" ht="17" customHeight="1" x14ac:dyDescent="0.2">
      <c r="J11" s="15" t="s">
        <v>24</v>
      </c>
      <c r="K11" s="11">
        <f>IF(AND(ISNUMBER(E5),ISNUMBER(G5)),IF(E5&gt;G5,3,IF(E5=G5,1,0)),0)+IF(AND(ISNUMBER(E6),ISNUMBER(G6)),IF(G6&gt;E6,3,IF(E6=G6,1,0)),0)+IF(AND(ISNUMBER(E9),ISNUMBER(G9)),IF(G9&gt;E9,3,IF(E9=G9,1,0)),0)</f>
        <v>0</v>
      </c>
      <c r="L11" s="11">
        <f>IF(ISNUMBER(E5),E5,0)+IF(ISNUMBER(G6),G6,0)+IF(ISNUMBER(G9),G9,0)</f>
        <v>0</v>
      </c>
      <c r="M11" s="11">
        <f>IF(ISNUMBER(G5),G5,0)+IF(ISNUMBER(E6),E6,0)+IF(ISNUMBER(E9),E9,0)</f>
        <v>0</v>
      </c>
      <c r="N11" s="11">
        <f>L11-M11</f>
        <v>0</v>
      </c>
      <c r="O11" s="16">
        <f>K11*10000+N11*100+L11+0.002</f>
        <v>2E-3</v>
      </c>
      <c r="P11" s="16">
        <f>RANK(O11,O10:O13,0)</f>
        <v>3</v>
      </c>
    </row>
    <row r="12" spans="1:16" ht="17" customHeight="1" x14ac:dyDescent="0.2">
      <c r="J12" s="15" t="s">
        <v>21</v>
      </c>
      <c r="K12" s="11">
        <f>IF(AND(ISNUMBER(E7),ISNUMBER(G7)),IF(E7&gt;G7,3,IF(E7=G7,1,0)),0)+IF(AND(ISNUMBER(E9),ISNUMBER(G9)),IF(E9&gt;G9,3,IF(E9=G9,1,0)),0)+IF(AND(ISNUMBER(E4),ISNUMBER(G4)),IF(G4&gt;E4,3,IF(E4=G4,1,0)),0)</f>
        <v>0</v>
      </c>
      <c r="L12" s="11">
        <f>IF(ISNUMBER(E7),E7,0)+IF(ISNUMBER(E9),E9,0)+IF(ISNUMBER(G4),G4,0)</f>
        <v>0</v>
      </c>
      <c r="M12" s="11">
        <f>IF(ISNUMBER(G7),G7,0)+IF(ISNUMBER(G9),G9,0)+IF(ISNUMBER(E4),E4,0)</f>
        <v>0</v>
      </c>
      <c r="N12" s="11">
        <f>L12-M12</f>
        <v>0</v>
      </c>
      <c r="O12" s="16">
        <f>K12*10000+N12*100+L12+0.003</f>
        <v>3.0000000000000001E-3</v>
      </c>
      <c r="P12" s="16">
        <f>RANK(O12,O10:O13,0)</f>
        <v>2</v>
      </c>
    </row>
    <row r="13" spans="1:16" ht="17" customHeight="1" x14ac:dyDescent="0.2">
      <c r="J13" s="15" t="s">
        <v>25</v>
      </c>
      <c r="K13" s="11">
        <f>IF(AND(ISNUMBER(E5),ISNUMBER(G5)),IF(G5&gt;E5,3,IF(E5=G5,1,0)),0)+IF(AND(ISNUMBER(E7),ISNUMBER(G7)),IF(G7&gt;E7,3,IF(E7=G7,1,0)),0)+IF(AND(ISNUMBER(E8),ISNUMBER(G8)),IF(G8&gt;E8,3,IF(E8=G8,1,0)),0)</f>
        <v>0</v>
      </c>
      <c r="L13" s="11">
        <f>IF(ISNUMBER(G5),G5,0)+IF(ISNUMBER(G7),G7,0)+IF(ISNUMBER(G8),G8,0)</f>
        <v>0</v>
      </c>
      <c r="M13" s="11">
        <f>IF(ISNUMBER(E5),E5,0)+IF(ISNUMBER(E7),E7,0)+IF(ISNUMBER(E8),E8,0)</f>
        <v>0</v>
      </c>
      <c r="N13" s="11">
        <f>L13-M13</f>
        <v>0</v>
      </c>
      <c r="O13" s="16">
        <f>K13*10000+N13*100+L13+0.004</f>
        <v>4.0000000000000001E-3</v>
      </c>
      <c r="P13" s="16">
        <f>RANK(O13,O10:O13,0)</f>
        <v>1</v>
      </c>
    </row>
    <row r="15" spans="1:16" ht="20" customHeight="1" x14ac:dyDescent="0.2">
      <c r="A15" s="46" t="s">
        <v>31</v>
      </c>
      <c r="B15" s="47"/>
      <c r="C15" s="47"/>
      <c r="D15" s="47"/>
      <c r="E15" s="47"/>
      <c r="F15" s="47"/>
      <c r="G15" s="47"/>
      <c r="H15" s="47"/>
      <c r="I15" s="47"/>
      <c r="J15" s="48" t="s">
        <v>32</v>
      </c>
      <c r="K15" s="47"/>
      <c r="L15" s="47"/>
      <c r="M15" s="47"/>
      <c r="N15" s="47"/>
      <c r="O15" s="47"/>
    </row>
    <row r="16" spans="1:16" ht="18" customHeight="1" x14ac:dyDescent="0.2">
      <c r="A16" s="8">
        <v>3</v>
      </c>
      <c r="B16" s="9" t="s">
        <v>18</v>
      </c>
      <c r="C16" s="8" t="s">
        <v>23</v>
      </c>
      <c r="D16" s="10" t="s">
        <v>33</v>
      </c>
      <c r="E16" s="63"/>
      <c r="F16" s="8" t="s">
        <v>7</v>
      </c>
      <c r="G16" s="63"/>
      <c r="H16" s="9" t="s">
        <v>34</v>
      </c>
      <c r="I16" s="11"/>
    </row>
    <row r="17" spans="1:16" ht="18" customHeight="1" x14ac:dyDescent="0.2">
      <c r="A17" s="12">
        <v>4</v>
      </c>
      <c r="B17" s="13" t="s">
        <v>35</v>
      </c>
      <c r="C17" s="12" t="s">
        <v>23</v>
      </c>
      <c r="D17" s="14" t="s">
        <v>36</v>
      </c>
      <c r="E17" s="63"/>
      <c r="F17" s="12" t="s">
        <v>7</v>
      </c>
      <c r="G17" s="63"/>
      <c r="H17" s="13" t="s">
        <v>37</v>
      </c>
      <c r="I17" s="11"/>
    </row>
    <row r="18" spans="1:16" ht="18" customHeight="1" x14ac:dyDescent="0.2">
      <c r="A18" s="8">
        <v>27</v>
      </c>
      <c r="B18" s="9" t="s">
        <v>38</v>
      </c>
      <c r="C18" s="8" t="s">
        <v>23</v>
      </c>
      <c r="D18" s="10" t="s">
        <v>33</v>
      </c>
      <c r="E18" s="63"/>
      <c r="F18" s="8" t="s">
        <v>7</v>
      </c>
      <c r="G18" s="63"/>
      <c r="H18" s="9" t="s">
        <v>36</v>
      </c>
      <c r="I18" s="11"/>
    </row>
    <row r="19" spans="1:16" ht="18" customHeight="1" x14ac:dyDescent="0.2">
      <c r="A19" s="12">
        <v>28</v>
      </c>
      <c r="B19" s="13" t="s">
        <v>38</v>
      </c>
      <c r="C19" s="12" t="s">
        <v>23</v>
      </c>
      <c r="D19" s="14" t="s">
        <v>34</v>
      </c>
      <c r="E19" s="63"/>
      <c r="F19" s="12" t="s">
        <v>7</v>
      </c>
      <c r="G19" s="63"/>
      <c r="H19" s="13" t="s">
        <v>37</v>
      </c>
      <c r="I19" s="11"/>
    </row>
    <row r="20" spans="1:16" ht="18" customHeight="1" x14ac:dyDescent="0.2">
      <c r="A20" s="8">
        <v>51</v>
      </c>
      <c r="B20" s="9" t="s">
        <v>28</v>
      </c>
      <c r="C20" s="8" t="s">
        <v>23</v>
      </c>
      <c r="D20" s="10" t="s">
        <v>33</v>
      </c>
      <c r="E20" s="63"/>
      <c r="F20" s="8" t="s">
        <v>7</v>
      </c>
      <c r="G20" s="63"/>
      <c r="H20" s="9" t="s">
        <v>37</v>
      </c>
      <c r="I20" s="11"/>
    </row>
    <row r="21" spans="1:16" ht="18" customHeight="1" x14ac:dyDescent="0.2">
      <c r="A21" s="12">
        <v>52</v>
      </c>
      <c r="B21" s="13" t="s">
        <v>28</v>
      </c>
      <c r="C21" s="12" t="s">
        <v>39</v>
      </c>
      <c r="D21" s="14" t="s">
        <v>34</v>
      </c>
      <c r="E21" s="63"/>
      <c r="F21" s="12" t="s">
        <v>7</v>
      </c>
      <c r="G21" s="63"/>
      <c r="H21" s="13" t="s">
        <v>36</v>
      </c>
      <c r="I21" s="11"/>
    </row>
    <row r="22" spans="1:16" ht="17" customHeight="1" x14ac:dyDescent="0.2">
      <c r="J22" s="15" t="s">
        <v>33</v>
      </c>
      <c r="K22" s="11">
        <f>IF(AND(ISNUMBER(E16),ISNUMBER(G16)),IF(E16&gt;G16,3,IF(E16=G16,1,0)),0)+IF(AND(ISNUMBER(E18),ISNUMBER(G18)),IF(E18&gt;G18,3,IF(E18=G18,1,0)),0)+IF(AND(ISNUMBER(E20),ISNUMBER(G20)),IF(E20&gt;G20,3,IF(E20=G20,1,0)),0)</f>
        <v>0</v>
      </c>
      <c r="L22" s="11">
        <f>IF(ISNUMBER(E16),E16,0)+IF(ISNUMBER(E18),E18,0)+IF(ISNUMBER(E20),E20,0)</f>
        <v>0</v>
      </c>
      <c r="M22" s="11">
        <f>IF(ISNUMBER(G16),G16,0)+IF(ISNUMBER(G18),G18,0)+IF(ISNUMBER(G20),G20,0)</f>
        <v>0</v>
      </c>
      <c r="N22" s="11">
        <f>L22-M22</f>
        <v>0</v>
      </c>
      <c r="O22" s="16">
        <f>K22*10000+N22*100+L22+0.001</f>
        <v>1E-3</v>
      </c>
      <c r="P22" s="16">
        <f>RANK(O22,O22:O25,0)</f>
        <v>4</v>
      </c>
    </row>
    <row r="23" spans="1:16" ht="17" customHeight="1" x14ac:dyDescent="0.2">
      <c r="J23" s="15" t="s">
        <v>36</v>
      </c>
      <c r="K23" s="11">
        <f>IF(AND(ISNUMBER(E17),ISNUMBER(G17)),IF(E17&gt;G17,3,IF(E17=G17,1,0)),0)+IF(AND(ISNUMBER(E18),ISNUMBER(G18)),IF(G18&gt;E18,3,IF(E18=G18,1,0)),0)+IF(AND(ISNUMBER(E21),ISNUMBER(G21)),IF(G21&gt;E21,3,IF(E21=G21,1,0)),0)</f>
        <v>0</v>
      </c>
      <c r="L23" s="11">
        <f>IF(ISNUMBER(E17),E17,0)+IF(ISNUMBER(G18),G18,0)+IF(ISNUMBER(G21),G21,0)</f>
        <v>0</v>
      </c>
      <c r="M23" s="11">
        <f>IF(ISNUMBER(G17),G17,0)+IF(ISNUMBER(E18),E18,0)+IF(ISNUMBER(E21),E21,0)</f>
        <v>0</v>
      </c>
      <c r="N23" s="11">
        <f>L23-M23</f>
        <v>0</v>
      </c>
      <c r="O23" s="16">
        <f>K23*10000+N23*100+L23+0.002</f>
        <v>2E-3</v>
      </c>
      <c r="P23" s="16">
        <f>RANK(O23,O22:O25,0)</f>
        <v>3</v>
      </c>
    </row>
    <row r="24" spans="1:16" ht="17" customHeight="1" x14ac:dyDescent="0.2">
      <c r="J24" s="15" t="s">
        <v>34</v>
      </c>
      <c r="K24" s="11">
        <f>IF(AND(ISNUMBER(E19),ISNUMBER(G19)),IF(E19&gt;G19,3,IF(E19=G19,1,0)),0)+IF(AND(ISNUMBER(E21),ISNUMBER(G21)),IF(E21&gt;G21,3,IF(E21=G21,1,0)),0)+IF(AND(ISNUMBER(E16),ISNUMBER(G16)),IF(G16&gt;E16,3,IF(E16=G16,1,0)),0)</f>
        <v>0</v>
      </c>
      <c r="L24" s="11">
        <f>IF(ISNUMBER(E19),E19,0)+IF(ISNUMBER(E21),E21,0)+IF(ISNUMBER(G16),G16,0)</f>
        <v>0</v>
      </c>
      <c r="M24" s="11">
        <f>IF(ISNUMBER(G19),G19,0)+IF(ISNUMBER(G21),G21,0)+IF(ISNUMBER(E16),E16,0)</f>
        <v>0</v>
      </c>
      <c r="N24" s="11">
        <f>L24-M24</f>
        <v>0</v>
      </c>
      <c r="O24" s="16">
        <f>K24*10000+N24*100+L24+0.003</f>
        <v>3.0000000000000001E-3</v>
      </c>
      <c r="P24" s="16">
        <f>RANK(O24,O22:O25,0)</f>
        <v>2</v>
      </c>
    </row>
    <row r="25" spans="1:16" ht="17" customHeight="1" x14ac:dyDescent="0.2">
      <c r="J25" s="15" t="s">
        <v>37</v>
      </c>
      <c r="K25" s="11">
        <f>IF(AND(ISNUMBER(E17),ISNUMBER(G17)),IF(G17&gt;E17,3,IF(E17=G17,1,0)),0)+IF(AND(ISNUMBER(E19),ISNUMBER(G19)),IF(G19&gt;E19,3,IF(E19=G19,1,0)),0)+IF(AND(ISNUMBER(E20),ISNUMBER(G20)),IF(G20&gt;E20,3,IF(E20=G20,1,0)),0)</f>
        <v>0</v>
      </c>
      <c r="L25" s="11">
        <f>IF(ISNUMBER(G17),G17,0)+IF(ISNUMBER(G19),G19,0)+IF(ISNUMBER(G20),G20,0)</f>
        <v>0</v>
      </c>
      <c r="M25" s="11">
        <f>IF(ISNUMBER(E17),E17,0)+IF(ISNUMBER(E19),E19,0)+IF(ISNUMBER(E20),E20,0)</f>
        <v>0</v>
      </c>
      <c r="N25" s="11">
        <f>L25-M25</f>
        <v>0</v>
      </c>
      <c r="O25" s="16">
        <f>K25*10000+N25*100+L25+0.004</f>
        <v>4.0000000000000001E-3</v>
      </c>
      <c r="P25" s="16">
        <f>RANK(O25,O22:O25,0)</f>
        <v>1</v>
      </c>
    </row>
    <row r="27" spans="1:16" ht="20" customHeight="1" x14ac:dyDescent="0.2">
      <c r="A27" s="46" t="s">
        <v>40</v>
      </c>
      <c r="B27" s="47"/>
      <c r="C27" s="47"/>
      <c r="D27" s="47"/>
      <c r="E27" s="47"/>
      <c r="F27" s="47"/>
      <c r="G27" s="47"/>
      <c r="H27" s="47"/>
      <c r="I27" s="47"/>
      <c r="J27" s="48" t="s">
        <v>41</v>
      </c>
      <c r="K27" s="47"/>
      <c r="L27" s="47"/>
      <c r="M27" s="47"/>
      <c r="N27" s="47"/>
      <c r="O27" s="47"/>
    </row>
    <row r="28" spans="1:16" ht="18" customHeight="1" x14ac:dyDescent="0.2">
      <c r="A28" s="8">
        <v>5</v>
      </c>
      <c r="B28" s="9" t="s">
        <v>38</v>
      </c>
      <c r="C28" s="8" t="s">
        <v>39</v>
      </c>
      <c r="D28" s="10" t="s">
        <v>42</v>
      </c>
      <c r="E28" s="63"/>
      <c r="F28" s="8" t="s">
        <v>7</v>
      </c>
      <c r="G28" s="63"/>
      <c r="H28" s="9" t="s">
        <v>43</v>
      </c>
      <c r="I28" s="11"/>
    </row>
    <row r="29" spans="1:16" ht="18" customHeight="1" x14ac:dyDescent="0.2">
      <c r="A29" s="12">
        <v>6</v>
      </c>
      <c r="B29" s="13" t="s">
        <v>38</v>
      </c>
      <c r="C29" s="12" t="s">
        <v>39</v>
      </c>
      <c r="D29" s="14" t="s">
        <v>44</v>
      </c>
      <c r="E29" s="63"/>
      <c r="F29" s="12" t="s">
        <v>7</v>
      </c>
      <c r="G29" s="63"/>
      <c r="H29" s="13" t="s">
        <v>45</v>
      </c>
      <c r="I29" s="11"/>
    </row>
    <row r="30" spans="1:16" ht="18" customHeight="1" x14ac:dyDescent="0.2">
      <c r="A30" s="8">
        <v>29</v>
      </c>
      <c r="B30" s="9" t="s">
        <v>46</v>
      </c>
      <c r="C30" s="8" t="s">
        <v>47</v>
      </c>
      <c r="D30" s="10" t="s">
        <v>42</v>
      </c>
      <c r="E30" s="63"/>
      <c r="F30" s="8" t="s">
        <v>7</v>
      </c>
      <c r="G30" s="63"/>
      <c r="H30" s="9" t="s">
        <v>44</v>
      </c>
      <c r="I30" s="11"/>
    </row>
    <row r="31" spans="1:16" ht="18" customHeight="1" x14ac:dyDescent="0.2">
      <c r="A31" s="12">
        <v>30</v>
      </c>
      <c r="B31" s="13" t="s">
        <v>30</v>
      </c>
      <c r="C31" s="12" t="s">
        <v>39</v>
      </c>
      <c r="D31" s="14" t="s">
        <v>43</v>
      </c>
      <c r="E31" s="63"/>
      <c r="F31" s="12" t="s">
        <v>7</v>
      </c>
      <c r="G31" s="63"/>
      <c r="H31" s="13" t="s">
        <v>45</v>
      </c>
      <c r="I31" s="11"/>
    </row>
    <row r="32" spans="1:16" ht="18" customHeight="1" x14ac:dyDescent="0.2">
      <c r="A32" s="8">
        <v>53</v>
      </c>
      <c r="B32" s="9" t="s">
        <v>35</v>
      </c>
      <c r="C32" s="8" t="s">
        <v>39</v>
      </c>
      <c r="D32" s="10" t="s">
        <v>42</v>
      </c>
      <c r="E32" s="63"/>
      <c r="F32" s="8" t="s">
        <v>7</v>
      </c>
      <c r="G32" s="63"/>
      <c r="H32" s="9" t="s">
        <v>45</v>
      </c>
      <c r="I32" s="11"/>
    </row>
    <row r="33" spans="1:16" ht="18" customHeight="1" x14ac:dyDescent="0.2">
      <c r="A33" s="12">
        <v>54</v>
      </c>
      <c r="B33" s="13" t="s">
        <v>48</v>
      </c>
      <c r="C33" s="12" t="s">
        <v>27</v>
      </c>
      <c r="D33" s="14" t="s">
        <v>43</v>
      </c>
      <c r="E33" s="63"/>
      <c r="F33" s="12" t="s">
        <v>7</v>
      </c>
      <c r="G33" s="63"/>
      <c r="H33" s="13" t="s">
        <v>44</v>
      </c>
      <c r="I33" s="11"/>
    </row>
    <row r="34" spans="1:16" ht="17" customHeight="1" x14ac:dyDescent="0.2">
      <c r="J34" s="15" t="s">
        <v>42</v>
      </c>
      <c r="K34" s="11">
        <f>IF(AND(ISNUMBER(E28),ISNUMBER(G28)),IF(E28&gt;G28,3,IF(E28=G28,1,0)),0)+IF(AND(ISNUMBER(E30),ISNUMBER(G30)),IF(E30&gt;G30,3,IF(E30=G30,1,0)),0)+IF(AND(ISNUMBER(E32),ISNUMBER(G32)),IF(E32&gt;G32,3,IF(E32=G32,1,0)),0)</f>
        <v>0</v>
      </c>
      <c r="L34" s="11">
        <f>IF(ISNUMBER(E28),E28,0)+IF(ISNUMBER(E30),E30,0)+IF(ISNUMBER(E32),E32,0)</f>
        <v>0</v>
      </c>
      <c r="M34" s="11">
        <f>IF(ISNUMBER(G28),G28,0)+IF(ISNUMBER(G30),G30,0)+IF(ISNUMBER(G32),G32,0)</f>
        <v>0</v>
      </c>
      <c r="N34" s="11">
        <f>L34-M34</f>
        <v>0</v>
      </c>
      <c r="O34" s="16">
        <f>K34*10000+N34*100+L34+0.001</f>
        <v>1E-3</v>
      </c>
      <c r="P34" s="16">
        <f>RANK(O34,O34:O37,0)</f>
        <v>4</v>
      </c>
    </row>
    <row r="35" spans="1:16" ht="17" customHeight="1" x14ac:dyDescent="0.2">
      <c r="J35" s="15" t="s">
        <v>44</v>
      </c>
      <c r="K35" s="11">
        <f>IF(AND(ISNUMBER(E29),ISNUMBER(G29)),IF(E29&gt;G29,3,IF(E29=G29,1,0)),0)+IF(AND(ISNUMBER(E30),ISNUMBER(G30)),IF(G30&gt;E30,3,IF(E30=G30,1,0)),0)+IF(AND(ISNUMBER(E33),ISNUMBER(G33)),IF(G33&gt;E33,3,IF(E33=G33,1,0)),0)</f>
        <v>0</v>
      </c>
      <c r="L35" s="11">
        <f>IF(ISNUMBER(E29),E29,0)+IF(ISNUMBER(G30),G30,0)+IF(ISNUMBER(G33),G33,0)</f>
        <v>0</v>
      </c>
      <c r="M35" s="11">
        <f>IF(ISNUMBER(G29),G29,0)+IF(ISNUMBER(E30),E30,0)+IF(ISNUMBER(E33),E33,0)</f>
        <v>0</v>
      </c>
      <c r="N35" s="11">
        <f>L35-M35</f>
        <v>0</v>
      </c>
      <c r="O35" s="16">
        <f>K35*10000+N35*100+L35+0.002</f>
        <v>2E-3</v>
      </c>
      <c r="P35" s="16">
        <f>RANK(O35,O34:O37,0)</f>
        <v>3</v>
      </c>
    </row>
    <row r="36" spans="1:16" ht="17" customHeight="1" x14ac:dyDescent="0.2">
      <c r="J36" s="15" t="s">
        <v>43</v>
      </c>
      <c r="K36" s="11">
        <f>IF(AND(ISNUMBER(E31),ISNUMBER(G31)),IF(E31&gt;G31,3,IF(E31=G31,1,0)),0)+IF(AND(ISNUMBER(E33),ISNUMBER(G33)),IF(E33&gt;G33,3,IF(E33=G33,1,0)),0)+IF(AND(ISNUMBER(E28),ISNUMBER(G28)),IF(G28&gt;E28,3,IF(E28=G28,1,0)),0)</f>
        <v>0</v>
      </c>
      <c r="L36" s="11">
        <f>IF(ISNUMBER(E31),E31,0)+IF(ISNUMBER(E33),E33,0)+IF(ISNUMBER(G28),G28,0)</f>
        <v>0</v>
      </c>
      <c r="M36" s="11">
        <f>IF(ISNUMBER(G31),G31,0)+IF(ISNUMBER(G33),G33,0)+IF(ISNUMBER(E28),E28,0)</f>
        <v>0</v>
      </c>
      <c r="N36" s="11">
        <f>L36-M36</f>
        <v>0</v>
      </c>
      <c r="O36" s="16">
        <f>K36*10000+N36*100+L36+0.003</f>
        <v>3.0000000000000001E-3</v>
      </c>
      <c r="P36" s="16">
        <f>RANK(O36,O34:O37,0)</f>
        <v>2</v>
      </c>
    </row>
    <row r="37" spans="1:16" ht="17" customHeight="1" x14ac:dyDescent="0.2">
      <c r="J37" s="15" t="s">
        <v>45</v>
      </c>
      <c r="K37" s="11">
        <f>IF(AND(ISNUMBER(E29),ISNUMBER(G29)),IF(G29&gt;E29,3,IF(E29=G29,1,0)),0)+IF(AND(ISNUMBER(E31),ISNUMBER(G31)),IF(G31&gt;E31,3,IF(E31=G31,1,0)),0)+IF(AND(ISNUMBER(E32),ISNUMBER(G32)),IF(G32&gt;E32,3,IF(E32=G32,1,0)),0)</f>
        <v>0</v>
      </c>
      <c r="L37" s="11">
        <f>IF(ISNUMBER(G29),G29,0)+IF(ISNUMBER(G31),G31,0)+IF(ISNUMBER(G32),G32,0)</f>
        <v>0</v>
      </c>
      <c r="M37" s="11">
        <f>IF(ISNUMBER(E29),E29,0)+IF(ISNUMBER(E31),E31,0)+IF(ISNUMBER(E32),E32,0)</f>
        <v>0</v>
      </c>
      <c r="N37" s="11">
        <f>L37-M37</f>
        <v>0</v>
      </c>
      <c r="O37" s="16">
        <f>K37*10000+N37*100+L37+0.004</f>
        <v>4.0000000000000001E-3</v>
      </c>
      <c r="P37" s="16">
        <f>RANK(O37,O34:O37,0)</f>
        <v>1</v>
      </c>
    </row>
    <row r="39" spans="1:16" ht="20" customHeight="1" x14ac:dyDescent="0.2">
      <c r="A39" s="46" t="s">
        <v>49</v>
      </c>
      <c r="B39" s="47"/>
      <c r="C39" s="47"/>
      <c r="D39" s="47"/>
      <c r="E39" s="47"/>
      <c r="F39" s="47"/>
      <c r="G39" s="47"/>
      <c r="H39" s="47"/>
      <c r="I39" s="47"/>
      <c r="J39" s="48" t="s">
        <v>50</v>
      </c>
      <c r="K39" s="47"/>
      <c r="L39" s="47"/>
      <c r="M39" s="47"/>
      <c r="N39" s="47"/>
      <c r="O39" s="47"/>
    </row>
    <row r="40" spans="1:16" ht="18" customHeight="1" x14ac:dyDescent="0.2">
      <c r="A40" s="8">
        <v>7</v>
      </c>
      <c r="B40" s="9" t="s">
        <v>30</v>
      </c>
      <c r="C40" s="8" t="s">
        <v>23</v>
      </c>
      <c r="D40" s="10" t="s">
        <v>51</v>
      </c>
      <c r="E40" s="63"/>
      <c r="F40" s="8" t="s">
        <v>7</v>
      </c>
      <c r="G40" s="63"/>
      <c r="H40" s="9" t="s">
        <v>52</v>
      </c>
      <c r="I40" s="11"/>
    </row>
    <row r="41" spans="1:16" ht="18" customHeight="1" x14ac:dyDescent="0.2">
      <c r="A41" s="12">
        <v>8</v>
      </c>
      <c r="B41" s="13" t="s">
        <v>46</v>
      </c>
      <c r="C41" s="12" t="s">
        <v>53</v>
      </c>
      <c r="D41" s="14" t="s">
        <v>54</v>
      </c>
      <c r="E41" s="63"/>
      <c r="F41" s="12" t="s">
        <v>7</v>
      </c>
      <c r="G41" s="63"/>
      <c r="H41" s="13" t="s">
        <v>55</v>
      </c>
      <c r="I41" s="11"/>
    </row>
    <row r="42" spans="1:16" ht="18" customHeight="1" x14ac:dyDescent="0.2">
      <c r="A42" s="8">
        <v>31</v>
      </c>
      <c r="B42" s="9" t="s">
        <v>56</v>
      </c>
      <c r="C42" s="8" t="s">
        <v>19</v>
      </c>
      <c r="D42" s="10" t="s">
        <v>51</v>
      </c>
      <c r="E42" s="63"/>
      <c r="F42" s="8" t="s">
        <v>7</v>
      </c>
      <c r="G42" s="63"/>
      <c r="H42" s="9" t="s">
        <v>54</v>
      </c>
      <c r="I42" s="11"/>
    </row>
    <row r="43" spans="1:16" ht="18" customHeight="1" x14ac:dyDescent="0.2">
      <c r="A43" s="12">
        <v>32</v>
      </c>
      <c r="B43" s="13" t="s">
        <v>56</v>
      </c>
      <c r="C43" s="12" t="s">
        <v>19</v>
      </c>
      <c r="D43" s="14" t="s">
        <v>52</v>
      </c>
      <c r="E43" s="63"/>
      <c r="F43" s="12" t="s">
        <v>7</v>
      </c>
      <c r="G43" s="63"/>
      <c r="H43" s="13" t="s">
        <v>55</v>
      </c>
      <c r="I43" s="11"/>
    </row>
    <row r="44" spans="1:16" ht="18" customHeight="1" x14ac:dyDescent="0.2">
      <c r="A44" s="8">
        <v>55</v>
      </c>
      <c r="B44" s="9" t="s">
        <v>48</v>
      </c>
      <c r="C44" s="8" t="s">
        <v>57</v>
      </c>
      <c r="D44" s="10" t="s">
        <v>51</v>
      </c>
      <c r="E44" s="63"/>
      <c r="F44" s="8" t="s">
        <v>7</v>
      </c>
      <c r="G44" s="63"/>
      <c r="H44" s="9" t="s">
        <v>55</v>
      </c>
      <c r="I44" s="11"/>
    </row>
    <row r="45" spans="1:16" ht="18" customHeight="1" x14ac:dyDescent="0.2">
      <c r="A45" s="12">
        <v>56</v>
      </c>
      <c r="B45" s="13" t="s">
        <v>35</v>
      </c>
      <c r="C45" s="12" t="s">
        <v>27</v>
      </c>
      <c r="D45" s="14" t="s">
        <v>52</v>
      </c>
      <c r="E45" s="63"/>
      <c r="F45" s="12" t="s">
        <v>7</v>
      </c>
      <c r="G45" s="63"/>
      <c r="H45" s="13" t="s">
        <v>54</v>
      </c>
      <c r="I45" s="11"/>
    </row>
    <row r="46" spans="1:16" ht="17" customHeight="1" x14ac:dyDescent="0.2">
      <c r="J46" s="15" t="s">
        <v>51</v>
      </c>
      <c r="K46" s="11">
        <f>IF(AND(ISNUMBER(E40),ISNUMBER(G40)),IF(E40&gt;G40,3,IF(E40=G40,1,0)),0)+IF(AND(ISNUMBER(E42),ISNUMBER(G42)),IF(E42&gt;G42,3,IF(E42=G42,1,0)),0)+IF(AND(ISNUMBER(E44),ISNUMBER(G44)),IF(E44&gt;G44,3,IF(E44=G44,1,0)),0)</f>
        <v>0</v>
      </c>
      <c r="L46" s="11">
        <f>IF(ISNUMBER(E40),E40,0)+IF(ISNUMBER(E42),E42,0)+IF(ISNUMBER(E44),E44,0)</f>
        <v>0</v>
      </c>
      <c r="M46" s="11">
        <f>IF(ISNUMBER(G40),G40,0)+IF(ISNUMBER(G42),G42,0)+IF(ISNUMBER(G44),G44,0)</f>
        <v>0</v>
      </c>
      <c r="N46" s="11">
        <f>L46-M46</f>
        <v>0</v>
      </c>
      <c r="O46" s="16">
        <f>K46*10000+N46*100+L46+0.001</f>
        <v>1E-3</v>
      </c>
      <c r="P46" s="16">
        <f>RANK(O46,O46:O49,0)</f>
        <v>4</v>
      </c>
    </row>
    <row r="47" spans="1:16" ht="17" customHeight="1" x14ac:dyDescent="0.2">
      <c r="J47" s="15" t="s">
        <v>54</v>
      </c>
      <c r="K47" s="11">
        <f>IF(AND(ISNUMBER(E41),ISNUMBER(G41)),IF(E41&gt;G41,3,IF(E41=G41,1,0)),0)+IF(AND(ISNUMBER(E42),ISNUMBER(G42)),IF(G42&gt;E42,3,IF(E42=G42,1,0)),0)+IF(AND(ISNUMBER(E45),ISNUMBER(G45)),IF(G45&gt;E45,3,IF(E45=G45,1,0)),0)</f>
        <v>0</v>
      </c>
      <c r="L47" s="11">
        <f>IF(ISNUMBER(E41),E41,0)+IF(ISNUMBER(G42),G42,0)+IF(ISNUMBER(G45),G45,0)</f>
        <v>0</v>
      </c>
      <c r="M47" s="11">
        <f>IF(ISNUMBER(G41),G41,0)+IF(ISNUMBER(E42),E42,0)+IF(ISNUMBER(E45),E45,0)</f>
        <v>0</v>
      </c>
      <c r="N47" s="11">
        <f>L47-M47</f>
        <v>0</v>
      </c>
      <c r="O47" s="16">
        <f>K47*10000+N47*100+L47+0.002</f>
        <v>2E-3</v>
      </c>
      <c r="P47" s="16">
        <f>RANK(O47,O46:O49,0)</f>
        <v>3</v>
      </c>
    </row>
    <row r="48" spans="1:16" ht="17" customHeight="1" x14ac:dyDescent="0.2">
      <c r="J48" s="15" t="s">
        <v>52</v>
      </c>
      <c r="K48" s="11">
        <f>IF(AND(ISNUMBER(E43),ISNUMBER(G43)),IF(E43&gt;G43,3,IF(E43=G43,1,0)),0)+IF(AND(ISNUMBER(E45),ISNUMBER(G45)),IF(E45&gt;G45,3,IF(E45=G45,1,0)),0)+IF(AND(ISNUMBER(E40),ISNUMBER(G40)),IF(G40&gt;E40,3,IF(E40=G40,1,0)),0)</f>
        <v>0</v>
      </c>
      <c r="L48" s="11">
        <f>IF(ISNUMBER(E43),E43,0)+IF(ISNUMBER(E45),E45,0)+IF(ISNUMBER(G40),G40,0)</f>
        <v>0</v>
      </c>
      <c r="M48" s="11">
        <f>IF(ISNUMBER(G43),G43,0)+IF(ISNUMBER(G45),G45,0)+IF(ISNUMBER(E40),E40,0)</f>
        <v>0</v>
      </c>
      <c r="N48" s="11">
        <f>L48-M48</f>
        <v>0</v>
      </c>
      <c r="O48" s="16">
        <f>K48*10000+N48*100+L48+0.003</f>
        <v>3.0000000000000001E-3</v>
      </c>
      <c r="P48" s="16">
        <f>RANK(O48,O46:O49,0)</f>
        <v>2</v>
      </c>
    </row>
    <row r="49" spans="1:16" ht="17" customHeight="1" x14ac:dyDescent="0.2">
      <c r="J49" s="15" t="s">
        <v>55</v>
      </c>
      <c r="K49" s="11">
        <f>IF(AND(ISNUMBER(E41),ISNUMBER(G41)),IF(G41&gt;E41,3,IF(E41=G41,1,0)),0)+IF(AND(ISNUMBER(E43),ISNUMBER(G43)),IF(G43&gt;E43,3,IF(E43=G43,1,0)),0)+IF(AND(ISNUMBER(E44),ISNUMBER(G44)),IF(G44&gt;E44,3,IF(E44=G44,1,0)),0)</f>
        <v>0</v>
      </c>
      <c r="L49" s="11">
        <f>IF(ISNUMBER(G41),G41,0)+IF(ISNUMBER(G43),G43,0)+IF(ISNUMBER(G44),G44,0)</f>
        <v>0</v>
      </c>
      <c r="M49" s="11">
        <f>IF(ISNUMBER(E41),E41,0)+IF(ISNUMBER(E43),E43,0)+IF(ISNUMBER(E44),E44,0)</f>
        <v>0</v>
      </c>
      <c r="N49" s="11">
        <f>L49-M49</f>
        <v>0</v>
      </c>
      <c r="O49" s="16">
        <f>K49*10000+N49*100+L49+0.004</f>
        <v>4.0000000000000001E-3</v>
      </c>
      <c r="P49" s="16">
        <f>RANK(O49,O46:O49,0)</f>
        <v>1</v>
      </c>
    </row>
    <row r="51" spans="1:16" ht="20" customHeight="1" x14ac:dyDescent="0.2">
      <c r="A51" s="46" t="s">
        <v>58</v>
      </c>
      <c r="B51" s="47"/>
      <c r="C51" s="47"/>
      <c r="D51" s="47"/>
      <c r="E51" s="47"/>
      <c r="F51" s="47"/>
      <c r="G51" s="47"/>
      <c r="H51" s="47"/>
      <c r="I51" s="47"/>
      <c r="J51" s="48" t="s">
        <v>59</v>
      </c>
      <c r="K51" s="47"/>
      <c r="L51" s="47"/>
      <c r="M51" s="47"/>
      <c r="N51" s="47"/>
      <c r="O51" s="47"/>
    </row>
    <row r="52" spans="1:16" ht="18" customHeight="1" x14ac:dyDescent="0.2">
      <c r="A52" s="8">
        <v>9</v>
      </c>
      <c r="B52" s="9" t="s">
        <v>46</v>
      </c>
      <c r="C52" s="8" t="s">
        <v>60</v>
      </c>
      <c r="D52" s="10" t="s">
        <v>61</v>
      </c>
      <c r="E52" s="63"/>
      <c r="F52" s="8" t="s">
        <v>7</v>
      </c>
      <c r="G52" s="63"/>
      <c r="H52" s="9" t="s">
        <v>62</v>
      </c>
      <c r="I52" s="11"/>
    </row>
    <row r="53" spans="1:16" ht="18" customHeight="1" x14ac:dyDescent="0.2">
      <c r="A53" s="12">
        <v>10</v>
      </c>
      <c r="B53" s="13" t="s">
        <v>63</v>
      </c>
      <c r="C53" s="12" t="s">
        <v>64</v>
      </c>
      <c r="D53" s="14" t="s">
        <v>65</v>
      </c>
      <c r="E53" s="63"/>
      <c r="F53" s="12" t="s">
        <v>7</v>
      </c>
      <c r="G53" s="63"/>
      <c r="H53" s="13" t="s">
        <v>66</v>
      </c>
      <c r="I53" s="11"/>
    </row>
    <row r="54" spans="1:16" ht="18" customHeight="1" x14ac:dyDescent="0.2">
      <c r="A54" s="8">
        <v>33</v>
      </c>
      <c r="B54" s="9" t="s">
        <v>48</v>
      </c>
      <c r="C54" s="8" t="s">
        <v>67</v>
      </c>
      <c r="D54" s="10" t="s">
        <v>61</v>
      </c>
      <c r="E54" s="63"/>
      <c r="F54" s="8" t="s">
        <v>7</v>
      </c>
      <c r="G54" s="63"/>
      <c r="H54" s="9" t="s">
        <v>65</v>
      </c>
      <c r="I54" s="11"/>
    </row>
    <row r="55" spans="1:16" ht="18" customHeight="1" x14ac:dyDescent="0.2">
      <c r="A55" s="12">
        <v>34</v>
      </c>
      <c r="B55" s="13" t="s">
        <v>48</v>
      </c>
      <c r="C55" s="12" t="s">
        <v>68</v>
      </c>
      <c r="D55" s="14" t="s">
        <v>62</v>
      </c>
      <c r="E55" s="63"/>
      <c r="F55" s="12" t="s">
        <v>7</v>
      </c>
      <c r="G55" s="63"/>
      <c r="H55" s="13" t="s">
        <v>66</v>
      </c>
      <c r="I55" s="11"/>
    </row>
    <row r="56" spans="1:16" ht="18" customHeight="1" x14ac:dyDescent="0.2">
      <c r="A56" s="8">
        <v>57</v>
      </c>
      <c r="B56" s="9" t="s">
        <v>26</v>
      </c>
      <c r="C56" s="8" t="s">
        <v>60</v>
      </c>
      <c r="D56" s="10" t="s">
        <v>61</v>
      </c>
      <c r="E56" s="63"/>
      <c r="F56" s="8" t="s">
        <v>7</v>
      </c>
      <c r="G56" s="63"/>
      <c r="H56" s="9" t="s">
        <v>66</v>
      </c>
      <c r="I56" s="11"/>
    </row>
    <row r="57" spans="1:16" ht="18" customHeight="1" x14ac:dyDescent="0.2">
      <c r="A57" s="12">
        <v>58</v>
      </c>
      <c r="B57" s="13" t="s">
        <v>26</v>
      </c>
      <c r="C57" s="12" t="s">
        <v>60</v>
      </c>
      <c r="D57" s="14" t="s">
        <v>62</v>
      </c>
      <c r="E57" s="63"/>
      <c r="F57" s="12" t="s">
        <v>7</v>
      </c>
      <c r="G57" s="63"/>
      <c r="H57" s="13" t="s">
        <v>65</v>
      </c>
      <c r="I57" s="11"/>
    </row>
    <row r="58" spans="1:16" ht="17" customHeight="1" x14ac:dyDescent="0.2">
      <c r="J58" s="15" t="s">
        <v>61</v>
      </c>
      <c r="K58" s="11">
        <f>IF(AND(ISNUMBER(E52),ISNUMBER(G52)),IF(E52&gt;G52,3,IF(E52=G52,1,0)),0)+IF(AND(ISNUMBER(E54),ISNUMBER(G54)),IF(E54&gt;G54,3,IF(E54=G54,1,0)),0)+IF(AND(ISNUMBER(E56),ISNUMBER(G56)),IF(E56&gt;G56,3,IF(E56=G56,1,0)),0)</f>
        <v>0</v>
      </c>
      <c r="L58" s="11">
        <f>IF(ISNUMBER(E52),E52,0)+IF(ISNUMBER(E54),E54,0)+IF(ISNUMBER(E56),E56,0)</f>
        <v>0</v>
      </c>
      <c r="M58" s="11">
        <f>IF(ISNUMBER(G52),G52,0)+IF(ISNUMBER(G54),G54,0)+IF(ISNUMBER(G56),G56,0)</f>
        <v>0</v>
      </c>
      <c r="N58" s="11">
        <f>L58-M58</f>
        <v>0</v>
      </c>
      <c r="O58" s="16">
        <f>K58*10000+N58*100+L58+0.001</f>
        <v>1E-3</v>
      </c>
      <c r="P58" s="16">
        <f>RANK(O58,O58:O61,0)</f>
        <v>4</v>
      </c>
    </row>
    <row r="59" spans="1:16" ht="17" customHeight="1" x14ac:dyDescent="0.2">
      <c r="J59" s="15" t="s">
        <v>65</v>
      </c>
      <c r="K59" s="11">
        <f>IF(AND(ISNUMBER(E53),ISNUMBER(G53)),IF(E53&gt;G53,3,IF(E53=G53,1,0)),0)+IF(AND(ISNUMBER(E54),ISNUMBER(G54)),IF(G54&gt;E54,3,IF(E54=G54,1,0)),0)+IF(AND(ISNUMBER(E57),ISNUMBER(G57)),IF(G57&gt;E57,3,IF(E57=G57,1,0)),0)</f>
        <v>0</v>
      </c>
      <c r="L59" s="11">
        <f>IF(ISNUMBER(E53),E53,0)+IF(ISNUMBER(G54),G54,0)+IF(ISNUMBER(G57),G57,0)</f>
        <v>0</v>
      </c>
      <c r="M59" s="11">
        <f>IF(ISNUMBER(G53),G53,0)+IF(ISNUMBER(E54),E54,0)+IF(ISNUMBER(E57),E57,0)</f>
        <v>0</v>
      </c>
      <c r="N59" s="11">
        <f>L59-M59</f>
        <v>0</v>
      </c>
      <c r="O59" s="16">
        <f>K59*10000+N59*100+L59+0.002</f>
        <v>2E-3</v>
      </c>
      <c r="P59" s="16">
        <f>RANK(O59,O58:O61,0)</f>
        <v>3</v>
      </c>
    </row>
    <row r="60" spans="1:16" ht="17" customHeight="1" x14ac:dyDescent="0.2">
      <c r="J60" s="15" t="s">
        <v>62</v>
      </c>
      <c r="K60" s="11">
        <f>IF(AND(ISNUMBER(E55),ISNUMBER(G55)),IF(E55&gt;G55,3,IF(E55=G55,1,0)),0)+IF(AND(ISNUMBER(E57),ISNUMBER(G57)),IF(E57&gt;G57,3,IF(E57=G57,1,0)),0)+IF(AND(ISNUMBER(E52),ISNUMBER(G52)),IF(G52&gt;E52,3,IF(E52=G52,1,0)),0)</f>
        <v>0</v>
      </c>
      <c r="L60" s="11">
        <f>IF(ISNUMBER(E55),E55,0)+IF(ISNUMBER(E57),E57,0)+IF(ISNUMBER(G52),G52,0)</f>
        <v>0</v>
      </c>
      <c r="M60" s="11">
        <f>IF(ISNUMBER(G55),G55,0)+IF(ISNUMBER(G57),G57,0)+IF(ISNUMBER(E52),E52,0)</f>
        <v>0</v>
      </c>
      <c r="N60" s="11">
        <f>L60-M60</f>
        <v>0</v>
      </c>
      <c r="O60" s="16">
        <f>K60*10000+N60*100+L60+0.003</f>
        <v>3.0000000000000001E-3</v>
      </c>
      <c r="P60" s="16">
        <f>RANK(O60,O58:O61,0)</f>
        <v>2</v>
      </c>
    </row>
    <row r="61" spans="1:16" ht="17" customHeight="1" x14ac:dyDescent="0.2">
      <c r="J61" s="15" t="s">
        <v>66</v>
      </c>
      <c r="K61" s="11">
        <f>IF(AND(ISNUMBER(E53),ISNUMBER(G53)),IF(G53&gt;E53,3,IF(E53=G53,1,0)),0)+IF(AND(ISNUMBER(E55),ISNUMBER(G55)),IF(G55&gt;E55,3,IF(E55=G55,1,0)),0)+IF(AND(ISNUMBER(E56),ISNUMBER(G56)),IF(G56&gt;E56,3,IF(E56=G56,1,0)),0)</f>
        <v>0</v>
      </c>
      <c r="L61" s="11">
        <f>IF(ISNUMBER(G53),G53,0)+IF(ISNUMBER(G55),G55,0)+IF(ISNUMBER(G56),G56,0)</f>
        <v>0</v>
      </c>
      <c r="M61" s="11">
        <f>IF(ISNUMBER(E53),E53,0)+IF(ISNUMBER(E55),E55,0)+IF(ISNUMBER(E56),E56,0)</f>
        <v>0</v>
      </c>
      <c r="N61" s="11">
        <f>L61-M61</f>
        <v>0</v>
      </c>
      <c r="O61" s="16">
        <f>K61*10000+N61*100+L61+0.004</f>
        <v>4.0000000000000001E-3</v>
      </c>
      <c r="P61" s="16">
        <f>RANK(O61,O58:O61,0)</f>
        <v>1</v>
      </c>
    </row>
    <row r="63" spans="1:16" ht="20" customHeight="1" x14ac:dyDescent="0.2">
      <c r="A63" s="46" t="s">
        <v>69</v>
      </c>
      <c r="B63" s="47"/>
      <c r="C63" s="47"/>
      <c r="D63" s="47"/>
      <c r="E63" s="47"/>
      <c r="F63" s="47"/>
      <c r="G63" s="47"/>
      <c r="H63" s="47"/>
      <c r="I63" s="47"/>
      <c r="J63" s="48" t="s">
        <v>70</v>
      </c>
      <c r="K63" s="47"/>
      <c r="L63" s="47"/>
      <c r="M63" s="47"/>
      <c r="N63" s="47"/>
      <c r="O63" s="47"/>
    </row>
    <row r="64" spans="1:16" ht="18" customHeight="1" x14ac:dyDescent="0.2">
      <c r="A64" s="8">
        <v>11</v>
      </c>
      <c r="B64" s="9" t="s">
        <v>48</v>
      </c>
      <c r="C64" s="8" t="s">
        <v>60</v>
      </c>
      <c r="D64" s="10" t="s">
        <v>71</v>
      </c>
      <c r="E64" s="63"/>
      <c r="F64" s="8" t="s">
        <v>7</v>
      </c>
      <c r="G64" s="63"/>
      <c r="H64" s="9" t="s">
        <v>72</v>
      </c>
      <c r="I64" s="11"/>
    </row>
    <row r="65" spans="1:16" ht="18" customHeight="1" x14ac:dyDescent="0.2">
      <c r="A65" s="12">
        <v>12</v>
      </c>
      <c r="B65" s="13" t="s">
        <v>73</v>
      </c>
      <c r="C65" s="12" t="s">
        <v>19</v>
      </c>
      <c r="D65" s="14" t="s">
        <v>74</v>
      </c>
      <c r="E65" s="63"/>
      <c r="F65" s="12" t="s">
        <v>7</v>
      </c>
      <c r="G65" s="63"/>
      <c r="H65" s="13" t="s">
        <v>75</v>
      </c>
      <c r="I65" s="11"/>
    </row>
    <row r="66" spans="1:16" ht="18" customHeight="1" x14ac:dyDescent="0.2">
      <c r="A66" s="8">
        <v>35</v>
      </c>
      <c r="B66" s="9" t="s">
        <v>26</v>
      </c>
      <c r="C66" s="8" t="s">
        <v>68</v>
      </c>
      <c r="D66" s="10" t="s">
        <v>71</v>
      </c>
      <c r="E66" s="63"/>
      <c r="F66" s="8" t="s">
        <v>7</v>
      </c>
      <c r="G66" s="63"/>
      <c r="H66" s="9" t="s">
        <v>74</v>
      </c>
      <c r="I66" s="11"/>
    </row>
    <row r="67" spans="1:16" ht="18" customHeight="1" x14ac:dyDescent="0.2">
      <c r="A67" s="12">
        <v>36</v>
      </c>
      <c r="B67" s="13" t="s">
        <v>26</v>
      </c>
      <c r="C67" s="12" t="s">
        <v>68</v>
      </c>
      <c r="D67" s="14" t="s">
        <v>72</v>
      </c>
      <c r="E67" s="63"/>
      <c r="F67" s="12" t="s">
        <v>7</v>
      </c>
      <c r="G67" s="63"/>
      <c r="H67" s="13" t="s">
        <v>75</v>
      </c>
      <c r="I67" s="11"/>
    </row>
    <row r="68" spans="1:16" ht="18" customHeight="1" x14ac:dyDescent="0.2">
      <c r="A68" s="8">
        <v>59</v>
      </c>
      <c r="B68" s="9" t="s">
        <v>63</v>
      </c>
      <c r="C68" s="8" t="s">
        <v>57</v>
      </c>
      <c r="D68" s="10" t="s">
        <v>71</v>
      </c>
      <c r="E68" s="63"/>
      <c r="F68" s="8" t="s">
        <v>7</v>
      </c>
      <c r="G68" s="63"/>
      <c r="H68" s="9" t="s">
        <v>75</v>
      </c>
      <c r="I68" s="11"/>
    </row>
    <row r="69" spans="1:16" ht="18" customHeight="1" x14ac:dyDescent="0.2">
      <c r="A69" s="12">
        <v>60</v>
      </c>
      <c r="B69" s="13" t="s">
        <v>46</v>
      </c>
      <c r="C69" s="12" t="s">
        <v>67</v>
      </c>
      <c r="D69" s="14" t="s">
        <v>72</v>
      </c>
      <c r="E69" s="63"/>
      <c r="F69" s="12" t="s">
        <v>7</v>
      </c>
      <c r="G69" s="63"/>
      <c r="H69" s="13" t="s">
        <v>74</v>
      </c>
      <c r="I69" s="11"/>
    </row>
    <row r="70" spans="1:16" ht="17" customHeight="1" x14ac:dyDescent="0.2">
      <c r="J70" s="15" t="s">
        <v>71</v>
      </c>
      <c r="K70" s="11">
        <f>IF(AND(ISNUMBER(E64),ISNUMBER(G64)),IF(E64&gt;G64,3,IF(E64=G64,1,0)),0)+IF(AND(ISNUMBER(E66),ISNUMBER(G66)),IF(E66&gt;G66,3,IF(E66=G66,1,0)),0)+IF(AND(ISNUMBER(E68),ISNUMBER(G68)),IF(E68&gt;G68,3,IF(E68=G68,1,0)),0)</f>
        <v>0</v>
      </c>
      <c r="L70" s="11">
        <f>IF(ISNUMBER(E64),E64,0)+IF(ISNUMBER(E66),E66,0)+IF(ISNUMBER(E68),E68,0)</f>
        <v>0</v>
      </c>
      <c r="M70" s="11">
        <f>IF(ISNUMBER(G64),G64,0)+IF(ISNUMBER(G66),G66,0)+IF(ISNUMBER(G68),G68,0)</f>
        <v>0</v>
      </c>
      <c r="N70" s="11">
        <f>L70-M70</f>
        <v>0</v>
      </c>
      <c r="O70" s="16">
        <f>K70*10000+N70*100+L70+0.001</f>
        <v>1E-3</v>
      </c>
      <c r="P70" s="16">
        <f>RANK(O70,O70:O73,0)</f>
        <v>4</v>
      </c>
    </row>
    <row r="71" spans="1:16" ht="17" customHeight="1" x14ac:dyDescent="0.2">
      <c r="J71" s="15" t="s">
        <v>74</v>
      </c>
      <c r="K71" s="11">
        <f>IF(AND(ISNUMBER(E65),ISNUMBER(G65)),IF(E65&gt;G65,3,IF(E65=G65,1,0)),0)+IF(AND(ISNUMBER(E66),ISNUMBER(G66)),IF(G66&gt;E66,3,IF(E66=G66,1,0)),0)+IF(AND(ISNUMBER(E69),ISNUMBER(G69)),IF(G69&gt;E69,3,IF(E69=G69,1,0)),0)</f>
        <v>0</v>
      </c>
      <c r="L71" s="11">
        <f>IF(ISNUMBER(E65),E65,0)+IF(ISNUMBER(G66),G66,0)+IF(ISNUMBER(G69),G69,0)</f>
        <v>0</v>
      </c>
      <c r="M71" s="11">
        <f>IF(ISNUMBER(G65),G65,0)+IF(ISNUMBER(E66),E66,0)+IF(ISNUMBER(E69),E69,0)</f>
        <v>0</v>
      </c>
      <c r="N71" s="11">
        <f>L71-M71</f>
        <v>0</v>
      </c>
      <c r="O71" s="16">
        <f>K71*10000+N71*100+L71+0.002</f>
        <v>2E-3</v>
      </c>
      <c r="P71" s="16">
        <f>RANK(O71,O70:O73,0)</f>
        <v>3</v>
      </c>
    </row>
    <row r="72" spans="1:16" ht="17" customHeight="1" x14ac:dyDescent="0.2">
      <c r="J72" s="15" t="s">
        <v>72</v>
      </c>
      <c r="K72" s="11">
        <f>IF(AND(ISNUMBER(E67),ISNUMBER(G67)),IF(E67&gt;G67,3,IF(E67=G67,1,0)),0)+IF(AND(ISNUMBER(E69),ISNUMBER(G69)),IF(E69&gt;G69,3,IF(E69=G69,1,0)),0)+IF(AND(ISNUMBER(E64),ISNUMBER(G64)),IF(G64&gt;E64,3,IF(E64=G64,1,0)),0)</f>
        <v>0</v>
      </c>
      <c r="L72" s="11">
        <f>IF(ISNUMBER(E67),E67,0)+IF(ISNUMBER(E69),E69,0)+IF(ISNUMBER(G64),G64,0)</f>
        <v>0</v>
      </c>
      <c r="M72" s="11">
        <f>IF(ISNUMBER(G67),G67,0)+IF(ISNUMBER(G69),G69,0)+IF(ISNUMBER(E64),E64,0)</f>
        <v>0</v>
      </c>
      <c r="N72" s="11">
        <f>L72-M72</f>
        <v>0</v>
      </c>
      <c r="O72" s="16">
        <f>K72*10000+N72*100+L72+0.003</f>
        <v>3.0000000000000001E-3</v>
      </c>
      <c r="P72" s="16">
        <f>RANK(O72,O70:O73,0)</f>
        <v>2</v>
      </c>
    </row>
    <row r="73" spans="1:16" ht="17" customHeight="1" x14ac:dyDescent="0.2">
      <c r="J73" s="15" t="s">
        <v>75</v>
      </c>
      <c r="K73" s="11">
        <f>IF(AND(ISNUMBER(E65),ISNUMBER(G65)),IF(G65&gt;E65,3,IF(E65=G65,1,0)),0)+IF(AND(ISNUMBER(E67),ISNUMBER(G67)),IF(G67&gt;E67,3,IF(E67=G67,1,0)),0)+IF(AND(ISNUMBER(E68),ISNUMBER(G68)),IF(G68&gt;E68,3,IF(E68=G68,1,0)),0)</f>
        <v>0</v>
      </c>
      <c r="L73" s="11">
        <f>IF(ISNUMBER(G65),G65,0)+IF(ISNUMBER(G67),G67,0)+IF(ISNUMBER(G68),G68,0)</f>
        <v>0</v>
      </c>
      <c r="M73" s="11">
        <f>IF(ISNUMBER(E65),E65,0)+IF(ISNUMBER(E67),E67,0)+IF(ISNUMBER(E68),E68,0)</f>
        <v>0</v>
      </c>
      <c r="N73" s="11">
        <f>L73-M73</f>
        <v>0</v>
      </c>
      <c r="O73" s="16">
        <f>K73*10000+N73*100+L73+0.004</f>
        <v>4.0000000000000001E-3</v>
      </c>
      <c r="P73" s="16">
        <f>RANK(O73,O70:O73,0)</f>
        <v>1</v>
      </c>
    </row>
    <row r="75" spans="1:16" ht="20" customHeight="1" x14ac:dyDescent="0.2">
      <c r="A75" s="46" t="s">
        <v>76</v>
      </c>
      <c r="B75" s="47"/>
      <c r="C75" s="47"/>
      <c r="D75" s="47"/>
      <c r="E75" s="47"/>
      <c r="F75" s="47"/>
      <c r="G75" s="47"/>
      <c r="H75" s="47"/>
      <c r="I75" s="47"/>
      <c r="J75" s="48" t="s">
        <v>77</v>
      </c>
      <c r="K75" s="47"/>
      <c r="L75" s="47"/>
      <c r="M75" s="47"/>
      <c r="N75" s="47"/>
      <c r="O75" s="47"/>
    </row>
    <row r="76" spans="1:16" ht="18" customHeight="1" x14ac:dyDescent="0.2">
      <c r="A76" s="8">
        <v>13</v>
      </c>
      <c r="B76" s="9" t="s">
        <v>73</v>
      </c>
      <c r="C76" s="8" t="s">
        <v>23</v>
      </c>
      <c r="D76" s="10" t="s">
        <v>78</v>
      </c>
      <c r="E76" s="63"/>
      <c r="F76" s="8" t="s">
        <v>7</v>
      </c>
      <c r="G76" s="63"/>
      <c r="H76" s="9" t="s">
        <v>79</v>
      </c>
      <c r="I76" s="11"/>
    </row>
    <row r="77" spans="1:16" ht="18" customHeight="1" x14ac:dyDescent="0.2">
      <c r="A77" s="12">
        <v>14</v>
      </c>
      <c r="B77" s="13" t="s">
        <v>80</v>
      </c>
      <c r="C77" s="12" t="s">
        <v>27</v>
      </c>
      <c r="D77" s="14" t="s">
        <v>81</v>
      </c>
      <c r="E77" s="63"/>
      <c r="F77" s="12" t="s">
        <v>7</v>
      </c>
      <c r="G77" s="63"/>
      <c r="H77" s="13" t="s">
        <v>82</v>
      </c>
      <c r="I77" s="11"/>
    </row>
    <row r="78" spans="1:16" ht="18" customHeight="1" x14ac:dyDescent="0.2">
      <c r="A78" s="8">
        <v>37</v>
      </c>
      <c r="B78" s="9" t="s">
        <v>63</v>
      </c>
      <c r="C78" s="8" t="s">
        <v>23</v>
      </c>
      <c r="D78" s="10" t="s">
        <v>78</v>
      </c>
      <c r="E78" s="63"/>
      <c r="F78" s="8" t="s">
        <v>7</v>
      </c>
      <c r="G78" s="63"/>
      <c r="H78" s="9" t="s">
        <v>81</v>
      </c>
      <c r="I78" s="11"/>
    </row>
    <row r="79" spans="1:16" ht="18" customHeight="1" x14ac:dyDescent="0.2">
      <c r="A79" s="12">
        <v>38</v>
      </c>
      <c r="B79" s="13" t="s">
        <v>83</v>
      </c>
      <c r="C79" s="12" t="s">
        <v>27</v>
      </c>
      <c r="D79" s="14" t="s">
        <v>79</v>
      </c>
      <c r="E79" s="63"/>
      <c r="F79" s="12" t="s">
        <v>7</v>
      </c>
      <c r="G79" s="63"/>
      <c r="H79" s="13" t="s">
        <v>82</v>
      </c>
      <c r="I79" s="11"/>
    </row>
    <row r="80" spans="1:16" ht="18" customHeight="1" x14ac:dyDescent="0.2">
      <c r="A80" s="8">
        <v>61</v>
      </c>
      <c r="B80" s="9" t="s">
        <v>84</v>
      </c>
      <c r="C80" s="8" t="s">
        <v>53</v>
      </c>
      <c r="D80" s="10" t="s">
        <v>78</v>
      </c>
      <c r="E80" s="63"/>
      <c r="F80" s="8" t="s">
        <v>7</v>
      </c>
      <c r="G80" s="63"/>
      <c r="H80" s="9" t="s">
        <v>82</v>
      </c>
      <c r="I80" s="11"/>
    </row>
    <row r="81" spans="1:16" ht="18" customHeight="1" x14ac:dyDescent="0.2">
      <c r="A81" s="12">
        <v>62</v>
      </c>
      <c r="B81" s="13" t="s">
        <v>84</v>
      </c>
      <c r="C81" s="12" t="s">
        <v>53</v>
      </c>
      <c r="D81" s="14" t="s">
        <v>79</v>
      </c>
      <c r="E81" s="63"/>
      <c r="F81" s="12" t="s">
        <v>7</v>
      </c>
      <c r="G81" s="63"/>
      <c r="H81" s="13" t="s">
        <v>81</v>
      </c>
      <c r="I81" s="11"/>
    </row>
    <row r="82" spans="1:16" ht="17" customHeight="1" x14ac:dyDescent="0.2">
      <c r="J82" s="15" t="s">
        <v>78</v>
      </c>
      <c r="K82" s="11">
        <f>IF(AND(ISNUMBER(E76),ISNUMBER(G76)),IF(E76&gt;G76,3,IF(E76=G76,1,0)),0)+IF(AND(ISNUMBER(E78),ISNUMBER(G78)),IF(E78&gt;G78,3,IF(E78=G78,1,0)),0)+IF(AND(ISNUMBER(E80),ISNUMBER(G80)),IF(E80&gt;G80,3,IF(E80=G80,1,0)),0)</f>
        <v>0</v>
      </c>
      <c r="L82" s="11">
        <f>IF(ISNUMBER(E76),E76,0)+IF(ISNUMBER(E78),E78,0)+IF(ISNUMBER(E80),E80,0)</f>
        <v>0</v>
      </c>
      <c r="M82" s="11">
        <f>IF(ISNUMBER(G76),G76,0)+IF(ISNUMBER(G78),G78,0)+IF(ISNUMBER(G80),G80,0)</f>
        <v>0</v>
      </c>
      <c r="N82" s="11">
        <f>L82-M82</f>
        <v>0</v>
      </c>
      <c r="O82" s="16">
        <f>K82*10000+N82*100+L82+0.001</f>
        <v>1E-3</v>
      </c>
      <c r="P82" s="16">
        <f>RANK(O82,O82:O85,0)</f>
        <v>4</v>
      </c>
    </row>
    <row r="83" spans="1:16" ht="17" customHeight="1" x14ac:dyDescent="0.2">
      <c r="J83" s="15" t="s">
        <v>81</v>
      </c>
      <c r="K83" s="11">
        <f>IF(AND(ISNUMBER(E77),ISNUMBER(G77)),IF(E77&gt;G77,3,IF(E77=G77,1,0)),0)+IF(AND(ISNUMBER(E78),ISNUMBER(G78)),IF(G78&gt;E78,3,IF(E78=G78,1,0)),0)+IF(AND(ISNUMBER(E81),ISNUMBER(G81)),IF(G81&gt;E81,3,IF(E81=G81,1,0)),0)</f>
        <v>0</v>
      </c>
      <c r="L83" s="11">
        <f>IF(ISNUMBER(E77),E77,0)+IF(ISNUMBER(G78),G78,0)+IF(ISNUMBER(G81),G81,0)</f>
        <v>0</v>
      </c>
      <c r="M83" s="11">
        <f>IF(ISNUMBER(G77),G77,0)+IF(ISNUMBER(E78),E78,0)+IF(ISNUMBER(E81),E81,0)</f>
        <v>0</v>
      </c>
      <c r="N83" s="11">
        <f>L83-M83</f>
        <v>0</v>
      </c>
      <c r="O83" s="16">
        <f>K83*10000+N83*100+L83+0.002</f>
        <v>2E-3</v>
      </c>
      <c r="P83" s="16">
        <f>RANK(O83,O82:O85,0)</f>
        <v>3</v>
      </c>
    </row>
    <row r="84" spans="1:16" ht="17" customHeight="1" x14ac:dyDescent="0.2">
      <c r="J84" s="15" t="s">
        <v>79</v>
      </c>
      <c r="K84" s="11">
        <f>IF(AND(ISNUMBER(E79),ISNUMBER(G79)),IF(E79&gt;G79,3,IF(E79=G79,1,0)),0)+IF(AND(ISNUMBER(E81),ISNUMBER(G81)),IF(E81&gt;G81,3,IF(E81=G81,1,0)),0)+IF(AND(ISNUMBER(E76),ISNUMBER(G76)),IF(G76&gt;E76,3,IF(E76=G76,1,0)),0)</f>
        <v>0</v>
      </c>
      <c r="L84" s="11">
        <f>IF(ISNUMBER(E79),E79,0)+IF(ISNUMBER(E81),E81,0)+IF(ISNUMBER(G76),G76,0)</f>
        <v>0</v>
      </c>
      <c r="M84" s="11">
        <f>IF(ISNUMBER(G79),G79,0)+IF(ISNUMBER(G81),G81,0)+IF(ISNUMBER(E76),E76,0)</f>
        <v>0</v>
      </c>
      <c r="N84" s="11">
        <f>L84-M84</f>
        <v>0</v>
      </c>
      <c r="O84" s="16">
        <f>K84*10000+N84*100+L84+0.003</f>
        <v>3.0000000000000001E-3</v>
      </c>
      <c r="P84" s="16">
        <f>RANK(O84,O82:O85,0)</f>
        <v>2</v>
      </c>
    </row>
    <row r="85" spans="1:16" ht="17" customHeight="1" x14ac:dyDescent="0.2">
      <c r="J85" s="15" t="s">
        <v>82</v>
      </c>
      <c r="K85" s="11">
        <f>IF(AND(ISNUMBER(E77),ISNUMBER(G77)),IF(G77&gt;E77,3,IF(E77=G77,1,0)),0)+IF(AND(ISNUMBER(E79),ISNUMBER(G79)),IF(G79&gt;E79,3,IF(E79=G79,1,0)),0)+IF(AND(ISNUMBER(E80),ISNUMBER(G80)),IF(G80&gt;E80,3,IF(E80=G80,1,0)),0)</f>
        <v>0</v>
      </c>
      <c r="L85" s="11">
        <f>IF(ISNUMBER(G77),G77,0)+IF(ISNUMBER(G79),G79,0)+IF(ISNUMBER(G80),G80,0)</f>
        <v>0</v>
      </c>
      <c r="M85" s="11">
        <f>IF(ISNUMBER(E77),E77,0)+IF(ISNUMBER(E79),E79,0)+IF(ISNUMBER(E80),E80,0)</f>
        <v>0</v>
      </c>
      <c r="N85" s="11">
        <f>L85-M85</f>
        <v>0</v>
      </c>
      <c r="O85" s="16">
        <f>K85*10000+N85*100+L85+0.004</f>
        <v>4.0000000000000001E-3</v>
      </c>
      <c r="P85" s="16">
        <f>RANK(O85,O82:O85,0)</f>
        <v>1</v>
      </c>
    </row>
    <row r="87" spans="1:16" ht="20" customHeight="1" x14ac:dyDescent="0.2">
      <c r="A87" s="46" t="s">
        <v>85</v>
      </c>
      <c r="B87" s="47"/>
      <c r="C87" s="47"/>
      <c r="D87" s="47"/>
      <c r="E87" s="47"/>
      <c r="F87" s="47"/>
      <c r="G87" s="47"/>
      <c r="H87" s="47"/>
      <c r="I87" s="47"/>
      <c r="J87" s="48" t="s">
        <v>86</v>
      </c>
      <c r="K87" s="47"/>
      <c r="L87" s="47"/>
      <c r="M87" s="47"/>
      <c r="N87" s="47"/>
      <c r="O87" s="47"/>
    </row>
    <row r="88" spans="1:16" ht="18" customHeight="1" x14ac:dyDescent="0.2">
      <c r="A88" s="8">
        <v>15</v>
      </c>
      <c r="B88" s="9" t="s">
        <v>84</v>
      </c>
      <c r="C88" s="8" t="s">
        <v>64</v>
      </c>
      <c r="D88" s="10" t="s">
        <v>87</v>
      </c>
      <c r="E88" s="63"/>
      <c r="F88" s="8" t="s">
        <v>7</v>
      </c>
      <c r="G88" s="63"/>
      <c r="H88" s="9" t="s">
        <v>88</v>
      </c>
      <c r="I88" s="11"/>
    </row>
    <row r="89" spans="1:16" ht="18" customHeight="1" x14ac:dyDescent="0.2">
      <c r="A89" s="12">
        <v>16</v>
      </c>
      <c r="B89" s="13" t="s">
        <v>84</v>
      </c>
      <c r="C89" s="12" t="s">
        <v>64</v>
      </c>
      <c r="D89" s="14" t="s">
        <v>89</v>
      </c>
      <c r="E89" s="63"/>
      <c r="F89" s="12" t="s">
        <v>7</v>
      </c>
      <c r="G89" s="63"/>
      <c r="H89" s="13" t="s">
        <v>90</v>
      </c>
      <c r="I89" s="11"/>
    </row>
    <row r="90" spans="1:16" ht="18" customHeight="1" x14ac:dyDescent="0.2">
      <c r="A90" s="8">
        <v>39</v>
      </c>
      <c r="B90" s="9" t="s">
        <v>63</v>
      </c>
      <c r="C90" s="8" t="s">
        <v>29</v>
      </c>
      <c r="D90" s="10" t="s">
        <v>87</v>
      </c>
      <c r="E90" s="63"/>
      <c r="F90" s="8" t="s">
        <v>7</v>
      </c>
      <c r="G90" s="63"/>
      <c r="H90" s="9" t="s">
        <v>89</v>
      </c>
      <c r="I90" s="11"/>
    </row>
    <row r="91" spans="1:16" ht="18" customHeight="1" x14ac:dyDescent="0.2">
      <c r="A91" s="12">
        <v>40</v>
      </c>
      <c r="B91" s="13" t="s">
        <v>63</v>
      </c>
      <c r="C91" s="12" t="s">
        <v>39</v>
      </c>
      <c r="D91" s="14" t="s">
        <v>88</v>
      </c>
      <c r="E91" s="63"/>
      <c r="F91" s="12" t="s">
        <v>7</v>
      </c>
      <c r="G91" s="63"/>
      <c r="H91" s="13" t="s">
        <v>90</v>
      </c>
      <c r="I91" s="11"/>
    </row>
    <row r="92" spans="1:16" ht="18" customHeight="1" x14ac:dyDescent="0.2">
      <c r="A92" s="8">
        <v>63</v>
      </c>
      <c r="B92" s="9" t="s">
        <v>73</v>
      </c>
      <c r="C92" s="8" t="s">
        <v>39</v>
      </c>
      <c r="D92" s="10" t="s">
        <v>87</v>
      </c>
      <c r="E92" s="63"/>
      <c r="F92" s="8" t="s">
        <v>7</v>
      </c>
      <c r="G92" s="63"/>
      <c r="H92" s="9" t="s">
        <v>90</v>
      </c>
      <c r="I92" s="11"/>
    </row>
    <row r="93" spans="1:16" ht="18" customHeight="1" x14ac:dyDescent="0.2">
      <c r="A93" s="12">
        <v>64</v>
      </c>
      <c r="B93" s="13" t="s">
        <v>73</v>
      </c>
      <c r="C93" s="12" t="s">
        <v>29</v>
      </c>
      <c r="D93" s="14" t="s">
        <v>88</v>
      </c>
      <c r="E93" s="63"/>
      <c r="F93" s="12" t="s">
        <v>7</v>
      </c>
      <c r="G93" s="63"/>
      <c r="H93" s="13" t="s">
        <v>89</v>
      </c>
      <c r="I93" s="11"/>
    </row>
    <row r="94" spans="1:16" ht="17" customHeight="1" x14ac:dyDescent="0.2">
      <c r="J94" s="15" t="s">
        <v>87</v>
      </c>
      <c r="K94" s="11">
        <f>IF(AND(ISNUMBER(E88),ISNUMBER(G88)),IF(E88&gt;G88,3,IF(E88=G88,1,0)),0)+IF(AND(ISNUMBER(E90),ISNUMBER(G90)),IF(E90&gt;G90,3,IF(E90=G90,1,0)),0)+IF(AND(ISNUMBER(E92),ISNUMBER(G92)),IF(E92&gt;G92,3,IF(E92=G92,1,0)),0)</f>
        <v>0</v>
      </c>
      <c r="L94" s="11">
        <f>IF(ISNUMBER(E88),E88,0)+IF(ISNUMBER(E90),E90,0)+IF(ISNUMBER(E92),E92,0)</f>
        <v>0</v>
      </c>
      <c r="M94" s="11">
        <f>IF(ISNUMBER(G88),G88,0)+IF(ISNUMBER(G90),G90,0)+IF(ISNUMBER(G92),G92,0)</f>
        <v>0</v>
      </c>
      <c r="N94" s="11">
        <f>L94-M94</f>
        <v>0</v>
      </c>
      <c r="O94" s="16">
        <f>K94*10000+N94*100+L94+0.001</f>
        <v>1E-3</v>
      </c>
      <c r="P94" s="16">
        <f>RANK(O94,O94:O97,0)</f>
        <v>4</v>
      </c>
    </row>
    <row r="95" spans="1:16" ht="17" customHeight="1" x14ac:dyDescent="0.2">
      <c r="J95" s="15" t="s">
        <v>89</v>
      </c>
      <c r="K95" s="11">
        <f>IF(AND(ISNUMBER(E89),ISNUMBER(G89)),IF(E89&gt;G89,3,IF(E89=G89,1,0)),0)+IF(AND(ISNUMBER(E90),ISNUMBER(G90)),IF(G90&gt;E90,3,IF(E90=G90,1,0)),0)+IF(AND(ISNUMBER(E93),ISNUMBER(G93)),IF(G93&gt;E93,3,IF(E93=G93,1,0)),0)</f>
        <v>0</v>
      </c>
      <c r="L95" s="11">
        <f>IF(ISNUMBER(E89),E89,0)+IF(ISNUMBER(G90),G90,0)+IF(ISNUMBER(G93),G93,0)</f>
        <v>0</v>
      </c>
      <c r="M95" s="11">
        <f>IF(ISNUMBER(G89),G89,0)+IF(ISNUMBER(E90),E90,0)+IF(ISNUMBER(E93),E93,0)</f>
        <v>0</v>
      </c>
      <c r="N95" s="11">
        <f>L95-M95</f>
        <v>0</v>
      </c>
      <c r="O95" s="16">
        <f>K95*10000+N95*100+L95+0.002</f>
        <v>2E-3</v>
      </c>
      <c r="P95" s="16">
        <f>RANK(O95,O94:O97,0)</f>
        <v>3</v>
      </c>
    </row>
    <row r="96" spans="1:16" ht="17" customHeight="1" x14ac:dyDescent="0.2">
      <c r="J96" s="15" t="s">
        <v>88</v>
      </c>
      <c r="K96" s="11">
        <f>IF(AND(ISNUMBER(E91),ISNUMBER(G91)),IF(E91&gt;G91,3,IF(E91=G91,1,0)),0)+IF(AND(ISNUMBER(E93),ISNUMBER(G93)),IF(E93&gt;G93,3,IF(E93=G93,1,0)),0)+IF(AND(ISNUMBER(E88),ISNUMBER(G88)),IF(G88&gt;E88,3,IF(E88=G88,1,0)),0)</f>
        <v>0</v>
      </c>
      <c r="L96" s="11">
        <f>IF(ISNUMBER(E91),E91,0)+IF(ISNUMBER(E93),E93,0)+IF(ISNUMBER(G88),G88,0)</f>
        <v>0</v>
      </c>
      <c r="M96" s="11">
        <f>IF(ISNUMBER(G91),G91,0)+IF(ISNUMBER(G93),G93,0)+IF(ISNUMBER(E88),E88,0)</f>
        <v>0</v>
      </c>
      <c r="N96" s="11">
        <f>L96-M96</f>
        <v>0</v>
      </c>
      <c r="O96" s="16">
        <f>K96*10000+N96*100+L96+0.003</f>
        <v>3.0000000000000001E-3</v>
      </c>
      <c r="P96" s="16">
        <f>RANK(O96,O94:O97,0)</f>
        <v>2</v>
      </c>
    </row>
    <row r="97" spans="1:16" ht="17" customHeight="1" x14ac:dyDescent="0.2">
      <c r="J97" s="15" t="s">
        <v>90</v>
      </c>
      <c r="K97" s="11">
        <f>IF(AND(ISNUMBER(E89),ISNUMBER(G89)),IF(G89&gt;E89,3,IF(E89=G89,1,0)),0)+IF(AND(ISNUMBER(E91),ISNUMBER(G91)),IF(G91&gt;E91,3,IF(E91=G91,1,0)),0)+IF(AND(ISNUMBER(E92),ISNUMBER(G92)),IF(G92&gt;E92,3,IF(E92=G92,1,0)),0)</f>
        <v>0</v>
      </c>
      <c r="L97" s="11">
        <f>IF(ISNUMBER(G89),G89,0)+IF(ISNUMBER(G91),G91,0)+IF(ISNUMBER(G92),G92,0)</f>
        <v>0</v>
      </c>
      <c r="M97" s="11">
        <f>IF(ISNUMBER(E89),E89,0)+IF(ISNUMBER(E91),E91,0)+IF(ISNUMBER(E92),E92,0)</f>
        <v>0</v>
      </c>
      <c r="N97" s="11">
        <f>L97-M97</f>
        <v>0</v>
      </c>
      <c r="O97" s="16">
        <f>K97*10000+N97*100+L97+0.004</f>
        <v>4.0000000000000001E-3</v>
      </c>
      <c r="P97" s="16">
        <f>RANK(O97,O94:O97,0)</f>
        <v>1</v>
      </c>
    </row>
    <row r="99" spans="1:16" ht="20" customHeight="1" x14ac:dyDescent="0.2">
      <c r="A99" s="46" t="s">
        <v>91</v>
      </c>
      <c r="B99" s="47"/>
      <c r="C99" s="47"/>
      <c r="D99" s="47"/>
      <c r="E99" s="47"/>
      <c r="F99" s="47"/>
      <c r="G99" s="47"/>
      <c r="H99" s="47"/>
      <c r="I99" s="47"/>
      <c r="J99" s="48" t="s">
        <v>92</v>
      </c>
      <c r="K99" s="47"/>
      <c r="L99" s="47"/>
      <c r="M99" s="47"/>
      <c r="N99" s="47"/>
      <c r="O99" s="47"/>
    </row>
    <row r="100" spans="1:16" ht="18" customHeight="1" x14ac:dyDescent="0.2">
      <c r="A100" s="8">
        <v>17</v>
      </c>
      <c r="B100" s="9" t="s">
        <v>83</v>
      </c>
      <c r="C100" s="8" t="s">
        <v>93</v>
      </c>
      <c r="D100" s="10" t="s">
        <v>94</v>
      </c>
      <c r="E100" s="63"/>
      <c r="F100" s="8" t="s">
        <v>7</v>
      </c>
      <c r="G100" s="63"/>
      <c r="H100" s="9" t="s">
        <v>95</v>
      </c>
      <c r="I100" s="11"/>
    </row>
    <row r="101" spans="1:16" ht="18" customHeight="1" x14ac:dyDescent="0.2">
      <c r="A101" s="12">
        <v>18</v>
      </c>
      <c r="B101" s="13" t="s">
        <v>96</v>
      </c>
      <c r="C101" s="12" t="s">
        <v>64</v>
      </c>
      <c r="D101" s="14" t="s">
        <v>97</v>
      </c>
      <c r="E101" s="63"/>
      <c r="F101" s="12" t="s">
        <v>7</v>
      </c>
      <c r="G101" s="63"/>
      <c r="H101" s="13" t="s">
        <v>98</v>
      </c>
      <c r="I101" s="11"/>
    </row>
    <row r="102" spans="1:16" ht="18" customHeight="1" x14ac:dyDescent="0.2">
      <c r="A102" s="8">
        <v>41</v>
      </c>
      <c r="B102" s="9" t="s">
        <v>56</v>
      </c>
      <c r="C102" s="8" t="s">
        <v>23</v>
      </c>
      <c r="D102" s="10" t="s">
        <v>94</v>
      </c>
      <c r="E102" s="63"/>
      <c r="F102" s="8" t="s">
        <v>7</v>
      </c>
      <c r="G102" s="63"/>
      <c r="H102" s="9" t="s">
        <v>97</v>
      </c>
      <c r="I102" s="11"/>
    </row>
    <row r="103" spans="1:16" ht="18" customHeight="1" x14ac:dyDescent="0.2">
      <c r="A103" s="12">
        <v>42</v>
      </c>
      <c r="B103" s="13" t="s">
        <v>56</v>
      </c>
      <c r="C103" s="12" t="s">
        <v>23</v>
      </c>
      <c r="D103" s="14" t="s">
        <v>95</v>
      </c>
      <c r="E103" s="63"/>
      <c r="F103" s="12" t="s">
        <v>7</v>
      </c>
      <c r="G103" s="63"/>
      <c r="H103" s="13" t="s">
        <v>98</v>
      </c>
      <c r="I103" s="11"/>
    </row>
    <row r="104" spans="1:16" ht="18" customHeight="1" x14ac:dyDescent="0.2">
      <c r="A104" s="8">
        <v>65</v>
      </c>
      <c r="B104" s="9" t="s">
        <v>80</v>
      </c>
      <c r="C104" s="8" t="s">
        <v>23</v>
      </c>
      <c r="D104" s="10" t="s">
        <v>94</v>
      </c>
      <c r="E104" s="63"/>
      <c r="F104" s="8" t="s">
        <v>7</v>
      </c>
      <c r="G104" s="63"/>
      <c r="H104" s="9" t="s">
        <v>98</v>
      </c>
      <c r="I104" s="11"/>
    </row>
    <row r="105" spans="1:16" ht="18" customHeight="1" x14ac:dyDescent="0.2">
      <c r="A105" s="12">
        <v>66</v>
      </c>
      <c r="B105" s="13" t="s">
        <v>80</v>
      </c>
      <c r="C105" s="12" t="s">
        <v>39</v>
      </c>
      <c r="D105" s="14" t="s">
        <v>95</v>
      </c>
      <c r="E105" s="63"/>
      <c r="F105" s="12" t="s">
        <v>7</v>
      </c>
      <c r="G105" s="63"/>
      <c r="H105" s="13" t="s">
        <v>97</v>
      </c>
      <c r="I105" s="11"/>
    </row>
    <row r="106" spans="1:16" ht="17" customHeight="1" x14ac:dyDescent="0.2">
      <c r="J106" s="15" t="s">
        <v>94</v>
      </c>
      <c r="K106" s="11">
        <f>IF(AND(ISNUMBER(E100),ISNUMBER(G100)),IF(E100&gt;G100,3,IF(E100=G100,1,0)),0)+IF(AND(ISNUMBER(E102),ISNUMBER(G102)),IF(E102&gt;G102,3,IF(E102=G102,1,0)),0)+IF(AND(ISNUMBER(E104),ISNUMBER(G104)),IF(E104&gt;G104,3,IF(E104=G104,1,0)),0)</f>
        <v>0</v>
      </c>
      <c r="L106" s="11">
        <f>IF(ISNUMBER(E100),E100,0)+IF(ISNUMBER(E102),E102,0)+IF(ISNUMBER(E104),E104,0)</f>
        <v>0</v>
      </c>
      <c r="M106" s="11">
        <f>IF(ISNUMBER(G100),G100,0)+IF(ISNUMBER(G102),G102,0)+IF(ISNUMBER(G104),G104,0)</f>
        <v>0</v>
      </c>
      <c r="N106" s="11">
        <f>L106-M106</f>
        <v>0</v>
      </c>
      <c r="O106" s="16">
        <f>K106*10000+N106*100+L106+0.001</f>
        <v>1E-3</v>
      </c>
      <c r="P106" s="16">
        <f>RANK(O106,O106:O109,0)</f>
        <v>4</v>
      </c>
    </row>
    <row r="107" spans="1:16" ht="17" customHeight="1" x14ac:dyDescent="0.2">
      <c r="J107" s="15" t="s">
        <v>97</v>
      </c>
      <c r="K107" s="11">
        <f>IF(AND(ISNUMBER(E101),ISNUMBER(G101)),IF(E101&gt;G101,3,IF(E101=G101,1,0)),0)+IF(AND(ISNUMBER(E102),ISNUMBER(G102)),IF(G102&gt;E102,3,IF(E102=G102,1,0)),0)+IF(AND(ISNUMBER(E105),ISNUMBER(G105)),IF(G105&gt;E105,3,IF(E105=G105,1,0)),0)</f>
        <v>0</v>
      </c>
      <c r="L107" s="11">
        <f>IF(ISNUMBER(E101),E101,0)+IF(ISNUMBER(G102),G102,0)+IF(ISNUMBER(G105),G105,0)</f>
        <v>0</v>
      </c>
      <c r="M107" s="11">
        <f>IF(ISNUMBER(G101),G101,0)+IF(ISNUMBER(E102),E102,0)+IF(ISNUMBER(E105),E105,0)</f>
        <v>0</v>
      </c>
      <c r="N107" s="11">
        <f>L107-M107</f>
        <v>0</v>
      </c>
      <c r="O107" s="16">
        <f>K107*10000+N107*100+L107+0.002</f>
        <v>2E-3</v>
      </c>
      <c r="P107" s="16">
        <f>RANK(O107,O106:O109,0)</f>
        <v>3</v>
      </c>
    </row>
    <row r="108" spans="1:16" ht="17" customHeight="1" x14ac:dyDescent="0.2">
      <c r="J108" s="15" t="s">
        <v>95</v>
      </c>
      <c r="K108" s="11">
        <f>IF(AND(ISNUMBER(E103),ISNUMBER(G103)),IF(E103&gt;G103,3,IF(E103=G103,1,0)),0)+IF(AND(ISNUMBER(E105),ISNUMBER(G105)),IF(E105&gt;G105,3,IF(E105=G105,1,0)),0)+IF(AND(ISNUMBER(E100),ISNUMBER(G100)),IF(G100&gt;E100,3,IF(E100=G100,1,0)),0)</f>
        <v>0</v>
      </c>
      <c r="L108" s="11">
        <f>IF(ISNUMBER(E103),E103,0)+IF(ISNUMBER(E105),E105,0)+IF(ISNUMBER(G100),G100,0)</f>
        <v>0</v>
      </c>
      <c r="M108" s="11">
        <f>IF(ISNUMBER(G103),G103,0)+IF(ISNUMBER(G105),G105,0)+IF(ISNUMBER(E100),E100,0)</f>
        <v>0</v>
      </c>
      <c r="N108" s="11">
        <f>L108-M108</f>
        <v>0</v>
      </c>
      <c r="O108" s="16">
        <f>K108*10000+N108*100+L108+0.003</f>
        <v>3.0000000000000001E-3</v>
      </c>
      <c r="P108" s="16">
        <f>RANK(O108,O106:O109,0)</f>
        <v>2</v>
      </c>
    </row>
    <row r="109" spans="1:16" ht="17" customHeight="1" x14ac:dyDescent="0.2">
      <c r="J109" s="15" t="s">
        <v>98</v>
      </c>
      <c r="K109" s="11">
        <f>IF(AND(ISNUMBER(E101),ISNUMBER(G101)),IF(G101&gt;E101,3,IF(E101=G101,1,0)),0)+IF(AND(ISNUMBER(E103),ISNUMBER(G103)),IF(G103&gt;E103,3,IF(E103=G103,1,0)),0)+IF(AND(ISNUMBER(E104),ISNUMBER(G104)),IF(G104&gt;E104,3,IF(E104=G104,1,0)),0)</f>
        <v>0</v>
      </c>
      <c r="L109" s="11">
        <f>IF(ISNUMBER(G101),G101,0)+IF(ISNUMBER(G103),G103,0)+IF(ISNUMBER(G104),G104,0)</f>
        <v>0</v>
      </c>
      <c r="M109" s="11">
        <f>IF(ISNUMBER(E101),E101,0)+IF(ISNUMBER(E103),E103,0)+IF(ISNUMBER(E104),E104,0)</f>
        <v>0</v>
      </c>
      <c r="N109" s="11">
        <f>L109-M109</f>
        <v>0</v>
      </c>
      <c r="O109" s="16">
        <f>K109*10000+N109*100+L109+0.004</f>
        <v>4.0000000000000001E-3</v>
      </c>
      <c r="P109" s="16">
        <f>RANK(O109,O106:O109,0)</f>
        <v>1</v>
      </c>
    </row>
    <row r="111" spans="1:16" ht="20" customHeight="1" x14ac:dyDescent="0.2">
      <c r="A111" s="46" t="s">
        <v>99</v>
      </c>
      <c r="B111" s="47"/>
      <c r="C111" s="47"/>
      <c r="D111" s="47"/>
      <c r="E111" s="47"/>
      <c r="F111" s="47"/>
      <c r="G111" s="47"/>
      <c r="H111" s="47"/>
      <c r="I111" s="47"/>
      <c r="J111" s="48" t="s">
        <v>100</v>
      </c>
      <c r="K111" s="47"/>
      <c r="L111" s="47"/>
      <c r="M111" s="47"/>
      <c r="N111" s="47"/>
      <c r="O111" s="47"/>
    </row>
    <row r="112" spans="1:16" ht="18" customHeight="1" x14ac:dyDescent="0.2">
      <c r="A112" s="8">
        <v>19</v>
      </c>
      <c r="B112" s="9" t="s">
        <v>101</v>
      </c>
      <c r="C112" s="8" t="s">
        <v>27</v>
      </c>
      <c r="D112" s="10" t="s">
        <v>102</v>
      </c>
      <c r="E112" s="63"/>
      <c r="F112" s="8" t="s">
        <v>7</v>
      </c>
      <c r="G112" s="63"/>
      <c r="H112" s="9" t="s">
        <v>103</v>
      </c>
      <c r="I112" s="11"/>
    </row>
    <row r="113" spans="1:16" ht="18" customHeight="1" x14ac:dyDescent="0.2">
      <c r="A113" s="12">
        <v>20</v>
      </c>
      <c r="B113" s="13" t="s">
        <v>101</v>
      </c>
      <c r="C113" s="12" t="s">
        <v>57</v>
      </c>
      <c r="D113" s="14" t="s">
        <v>104</v>
      </c>
      <c r="E113" s="63"/>
      <c r="F113" s="12" t="s">
        <v>7</v>
      </c>
      <c r="G113" s="63"/>
      <c r="H113" s="13" t="s">
        <v>105</v>
      </c>
      <c r="I113" s="11"/>
    </row>
    <row r="114" spans="1:16" ht="18" customHeight="1" x14ac:dyDescent="0.2">
      <c r="A114" s="8">
        <v>43</v>
      </c>
      <c r="B114" s="9" t="s">
        <v>106</v>
      </c>
      <c r="C114" s="8" t="s">
        <v>19</v>
      </c>
      <c r="D114" s="10" t="s">
        <v>102</v>
      </c>
      <c r="E114" s="63"/>
      <c r="F114" s="8" t="s">
        <v>7</v>
      </c>
      <c r="G114" s="63"/>
      <c r="H114" s="9" t="s">
        <v>104</v>
      </c>
      <c r="I114" s="11"/>
    </row>
    <row r="115" spans="1:16" ht="18" customHeight="1" x14ac:dyDescent="0.2">
      <c r="A115" s="12">
        <v>44</v>
      </c>
      <c r="B115" s="13" t="s">
        <v>106</v>
      </c>
      <c r="C115" s="12" t="s">
        <v>19</v>
      </c>
      <c r="D115" s="14" t="s">
        <v>103</v>
      </c>
      <c r="E115" s="63"/>
      <c r="F115" s="12" t="s">
        <v>7</v>
      </c>
      <c r="G115" s="63"/>
      <c r="H115" s="13" t="s">
        <v>105</v>
      </c>
      <c r="I115" s="11"/>
    </row>
    <row r="116" spans="1:16" ht="18" customHeight="1" x14ac:dyDescent="0.2">
      <c r="A116" s="8">
        <v>67</v>
      </c>
      <c r="B116" s="9" t="s">
        <v>96</v>
      </c>
      <c r="C116" s="8" t="s">
        <v>53</v>
      </c>
      <c r="D116" s="10" t="s">
        <v>102</v>
      </c>
      <c r="E116" s="63"/>
      <c r="F116" s="8" t="s">
        <v>7</v>
      </c>
      <c r="G116" s="63"/>
      <c r="H116" s="9" t="s">
        <v>105</v>
      </c>
      <c r="I116" s="11"/>
    </row>
    <row r="117" spans="1:16" ht="18" customHeight="1" x14ac:dyDescent="0.2">
      <c r="A117" s="12">
        <v>68</v>
      </c>
      <c r="B117" s="13" t="s">
        <v>83</v>
      </c>
      <c r="C117" s="12" t="s">
        <v>67</v>
      </c>
      <c r="D117" s="14" t="s">
        <v>103</v>
      </c>
      <c r="E117" s="63"/>
      <c r="F117" s="12" t="s">
        <v>7</v>
      </c>
      <c r="G117" s="63"/>
      <c r="H117" s="13" t="s">
        <v>104</v>
      </c>
      <c r="I117" s="11"/>
    </row>
    <row r="118" spans="1:16" ht="17" customHeight="1" x14ac:dyDescent="0.2">
      <c r="J118" s="15" t="s">
        <v>102</v>
      </c>
      <c r="K118" s="11">
        <f>IF(AND(ISNUMBER(E112),ISNUMBER(G112)),IF(E112&gt;G112,3,IF(E112=G112,1,0)),0)+IF(AND(ISNUMBER(E114),ISNUMBER(G114)),IF(E114&gt;G114,3,IF(E114=G114,1,0)),0)+IF(AND(ISNUMBER(E116),ISNUMBER(G116)),IF(E116&gt;G116,3,IF(E116=G116,1,0)),0)</f>
        <v>0</v>
      </c>
      <c r="L118" s="11">
        <f>IF(ISNUMBER(E112),E112,0)+IF(ISNUMBER(E114),E114,0)+IF(ISNUMBER(E116),E116,0)</f>
        <v>0</v>
      </c>
      <c r="M118" s="11">
        <f>IF(ISNUMBER(G112),G112,0)+IF(ISNUMBER(G114),G114,0)+IF(ISNUMBER(G116),G116,0)</f>
        <v>0</v>
      </c>
      <c r="N118" s="11">
        <f>L118-M118</f>
        <v>0</v>
      </c>
      <c r="O118" s="16">
        <f>K118*10000+N118*100+L118+0.001</f>
        <v>1E-3</v>
      </c>
      <c r="P118" s="16">
        <f>RANK(O118,O118:O121,0)</f>
        <v>4</v>
      </c>
    </row>
    <row r="119" spans="1:16" ht="17" customHeight="1" x14ac:dyDescent="0.2">
      <c r="J119" s="15" t="s">
        <v>104</v>
      </c>
      <c r="K119" s="11">
        <f>IF(AND(ISNUMBER(E113),ISNUMBER(G113)),IF(E113&gt;G113,3,IF(E113=G113,1,0)),0)+IF(AND(ISNUMBER(E114),ISNUMBER(G114)),IF(G114&gt;E114,3,IF(E114=G114,1,0)),0)+IF(AND(ISNUMBER(E117),ISNUMBER(G117)),IF(G117&gt;E117,3,IF(E117=G117,1,0)),0)</f>
        <v>0</v>
      </c>
      <c r="L119" s="11">
        <f>IF(ISNUMBER(E113),E113,0)+IF(ISNUMBER(G114),G114,0)+IF(ISNUMBER(G117),G117,0)</f>
        <v>0</v>
      </c>
      <c r="M119" s="11">
        <f>IF(ISNUMBER(G113),G113,0)+IF(ISNUMBER(E114),E114,0)+IF(ISNUMBER(E117),E117,0)</f>
        <v>0</v>
      </c>
      <c r="N119" s="11">
        <f>L119-M119</f>
        <v>0</v>
      </c>
      <c r="O119" s="16">
        <f>K119*10000+N119*100+L119+0.002</f>
        <v>2E-3</v>
      </c>
      <c r="P119" s="16">
        <f>RANK(O119,O118:O121,0)</f>
        <v>3</v>
      </c>
    </row>
    <row r="120" spans="1:16" ht="17" customHeight="1" x14ac:dyDescent="0.2">
      <c r="J120" s="15" t="s">
        <v>103</v>
      </c>
      <c r="K120" s="11">
        <f>IF(AND(ISNUMBER(E115),ISNUMBER(G115)),IF(E115&gt;G115,3,IF(E115=G115,1,0)),0)+IF(AND(ISNUMBER(E117),ISNUMBER(G117)),IF(E117&gt;G117,3,IF(E117=G117,1,0)),0)+IF(AND(ISNUMBER(E112),ISNUMBER(G112)),IF(G112&gt;E112,3,IF(E112=G112,1,0)),0)</f>
        <v>0</v>
      </c>
      <c r="L120" s="11">
        <f>IF(ISNUMBER(E115),E115,0)+IF(ISNUMBER(E117),E117,0)+IF(ISNUMBER(G112),G112,0)</f>
        <v>0</v>
      </c>
      <c r="M120" s="11">
        <f>IF(ISNUMBER(G115),G115,0)+IF(ISNUMBER(G117),G117,0)+IF(ISNUMBER(E112),E112,0)</f>
        <v>0</v>
      </c>
      <c r="N120" s="11">
        <f>L120-M120</f>
        <v>0</v>
      </c>
      <c r="O120" s="16">
        <f>K120*10000+N120*100+L120+0.003</f>
        <v>3.0000000000000001E-3</v>
      </c>
      <c r="P120" s="16">
        <f>RANK(O120,O118:O121,0)</f>
        <v>2</v>
      </c>
    </row>
    <row r="121" spans="1:16" ht="17" customHeight="1" x14ac:dyDescent="0.2">
      <c r="J121" s="15" t="s">
        <v>105</v>
      </c>
      <c r="K121" s="11">
        <f>IF(AND(ISNUMBER(E113),ISNUMBER(G113)),IF(G113&gt;E113,3,IF(E113=G113,1,0)),0)+IF(AND(ISNUMBER(E115),ISNUMBER(G115)),IF(G115&gt;E115,3,IF(E115=G115,1,0)),0)+IF(AND(ISNUMBER(E116),ISNUMBER(G116)),IF(G116&gt;E116,3,IF(E116=G116,1,0)),0)</f>
        <v>0</v>
      </c>
      <c r="L121" s="11">
        <f>IF(ISNUMBER(G113),G113,0)+IF(ISNUMBER(G115),G115,0)+IF(ISNUMBER(G116),G116,0)</f>
        <v>0</v>
      </c>
      <c r="M121" s="11">
        <f>IF(ISNUMBER(E113),E113,0)+IF(ISNUMBER(E115),E115,0)+IF(ISNUMBER(E116),E116,0)</f>
        <v>0</v>
      </c>
      <c r="N121" s="11">
        <f>L121-M121</f>
        <v>0</v>
      </c>
      <c r="O121" s="16">
        <f>K121*10000+N121*100+L121+0.004</f>
        <v>4.0000000000000001E-3</v>
      </c>
      <c r="P121" s="16">
        <f>RANK(O121,O118:O121,0)</f>
        <v>1</v>
      </c>
    </row>
    <row r="123" spans="1:16" ht="20" customHeight="1" x14ac:dyDescent="0.2">
      <c r="A123" s="46" t="s">
        <v>107</v>
      </c>
      <c r="B123" s="47"/>
      <c r="C123" s="47"/>
      <c r="D123" s="47"/>
      <c r="E123" s="47"/>
      <c r="F123" s="47"/>
      <c r="G123" s="47"/>
      <c r="H123" s="47"/>
      <c r="I123" s="47"/>
      <c r="J123" s="48" t="s">
        <v>108</v>
      </c>
      <c r="K123" s="47"/>
      <c r="L123" s="47"/>
      <c r="M123" s="47"/>
      <c r="N123" s="47"/>
      <c r="O123" s="47"/>
    </row>
    <row r="124" spans="1:16" ht="18" customHeight="1" x14ac:dyDescent="0.2">
      <c r="A124" s="8">
        <v>21</v>
      </c>
      <c r="B124" s="9" t="s">
        <v>84</v>
      </c>
      <c r="C124" s="8" t="s">
        <v>109</v>
      </c>
      <c r="D124" s="10" t="s">
        <v>110</v>
      </c>
      <c r="E124" s="63"/>
      <c r="F124" s="8" t="s">
        <v>7</v>
      </c>
      <c r="G124" s="63"/>
      <c r="H124" s="9" t="s">
        <v>111</v>
      </c>
      <c r="I124" s="11"/>
    </row>
    <row r="125" spans="1:16" ht="18" customHeight="1" x14ac:dyDescent="0.2">
      <c r="A125" s="12">
        <v>22</v>
      </c>
      <c r="B125" s="13" t="s">
        <v>84</v>
      </c>
      <c r="C125" s="12" t="s">
        <v>109</v>
      </c>
      <c r="D125" s="14" t="s">
        <v>112</v>
      </c>
      <c r="E125" s="63"/>
      <c r="F125" s="12" t="s">
        <v>7</v>
      </c>
      <c r="G125" s="63"/>
      <c r="H125" s="13" t="s">
        <v>113</v>
      </c>
      <c r="I125" s="11"/>
    </row>
    <row r="126" spans="1:16" ht="18" customHeight="1" x14ac:dyDescent="0.2">
      <c r="A126" s="8">
        <v>45</v>
      </c>
      <c r="B126" s="9" t="s">
        <v>38</v>
      </c>
      <c r="C126" s="8" t="s">
        <v>19</v>
      </c>
      <c r="D126" s="10" t="s">
        <v>110</v>
      </c>
      <c r="E126" s="63"/>
      <c r="F126" s="8" t="s">
        <v>7</v>
      </c>
      <c r="G126" s="63"/>
      <c r="H126" s="9" t="s">
        <v>112</v>
      </c>
      <c r="I126" s="11"/>
    </row>
    <row r="127" spans="1:16" ht="18" customHeight="1" x14ac:dyDescent="0.2">
      <c r="A127" s="12">
        <v>46</v>
      </c>
      <c r="B127" s="13" t="s">
        <v>96</v>
      </c>
      <c r="C127" s="12" t="s">
        <v>67</v>
      </c>
      <c r="D127" s="14" t="s">
        <v>111</v>
      </c>
      <c r="E127" s="63"/>
      <c r="F127" s="12" t="s">
        <v>7</v>
      </c>
      <c r="G127" s="63"/>
      <c r="H127" s="13" t="s">
        <v>113</v>
      </c>
      <c r="I127" s="11"/>
    </row>
    <row r="128" spans="1:16" ht="18" customHeight="1" x14ac:dyDescent="0.2">
      <c r="A128" s="8">
        <v>69</v>
      </c>
      <c r="B128" s="9" t="s">
        <v>28</v>
      </c>
      <c r="C128" s="8" t="s">
        <v>19</v>
      </c>
      <c r="D128" s="10" t="s">
        <v>110</v>
      </c>
      <c r="E128" s="63"/>
      <c r="F128" s="8" t="s">
        <v>7</v>
      </c>
      <c r="G128" s="63"/>
      <c r="H128" s="9" t="s">
        <v>113</v>
      </c>
      <c r="I128" s="11"/>
    </row>
    <row r="129" spans="1:16" ht="18" customHeight="1" x14ac:dyDescent="0.2">
      <c r="A129" s="12">
        <v>70</v>
      </c>
      <c r="B129" s="13" t="s">
        <v>101</v>
      </c>
      <c r="C129" s="12" t="s">
        <v>67</v>
      </c>
      <c r="D129" s="14" t="s">
        <v>111</v>
      </c>
      <c r="E129" s="63"/>
      <c r="F129" s="12" t="s">
        <v>7</v>
      </c>
      <c r="G129" s="63"/>
      <c r="H129" s="13" t="s">
        <v>112</v>
      </c>
      <c r="I129" s="11"/>
    </row>
    <row r="130" spans="1:16" ht="17" customHeight="1" x14ac:dyDescent="0.2">
      <c r="J130" s="15" t="s">
        <v>110</v>
      </c>
      <c r="K130" s="11">
        <f>IF(AND(ISNUMBER(E124),ISNUMBER(G124)),IF(E124&gt;G124,3,IF(E124=G124,1,0)),0)+IF(AND(ISNUMBER(E126),ISNUMBER(G126)),IF(E126&gt;G126,3,IF(E126=G126,1,0)),0)+IF(AND(ISNUMBER(E128),ISNUMBER(G128)),IF(E128&gt;G128,3,IF(E128=G128,1,0)),0)</f>
        <v>0</v>
      </c>
      <c r="L130" s="11">
        <f>IF(ISNUMBER(E124),E124,0)+IF(ISNUMBER(E126),E126,0)+IF(ISNUMBER(E128),E128,0)</f>
        <v>0</v>
      </c>
      <c r="M130" s="11">
        <f>IF(ISNUMBER(G124),G124,0)+IF(ISNUMBER(G126),G126,0)+IF(ISNUMBER(G128),G128,0)</f>
        <v>0</v>
      </c>
      <c r="N130" s="11">
        <f>L130-M130</f>
        <v>0</v>
      </c>
      <c r="O130" s="16">
        <f>K130*10000+N130*100+L130+0.001</f>
        <v>1E-3</v>
      </c>
      <c r="P130" s="16">
        <f>RANK(O130,O130:O133,0)</f>
        <v>4</v>
      </c>
    </row>
    <row r="131" spans="1:16" ht="17" customHeight="1" x14ac:dyDescent="0.2">
      <c r="J131" s="15" t="s">
        <v>112</v>
      </c>
      <c r="K131" s="11">
        <f>IF(AND(ISNUMBER(E125),ISNUMBER(G125)),IF(E125&gt;G125,3,IF(E125=G125,1,0)),0)+IF(AND(ISNUMBER(E126),ISNUMBER(G126)),IF(G126&gt;E126,3,IF(E126=G126,1,0)),0)+IF(AND(ISNUMBER(E129),ISNUMBER(G129)),IF(G129&gt;E129,3,IF(E129=G129,1,0)),0)</f>
        <v>0</v>
      </c>
      <c r="L131" s="11">
        <f>IF(ISNUMBER(E125),E125,0)+IF(ISNUMBER(G126),G126,0)+IF(ISNUMBER(G129),G129,0)</f>
        <v>0</v>
      </c>
      <c r="M131" s="11">
        <f>IF(ISNUMBER(G125),G125,0)+IF(ISNUMBER(E126),E126,0)+IF(ISNUMBER(E129),E129,0)</f>
        <v>0</v>
      </c>
      <c r="N131" s="11">
        <f>L131-M131</f>
        <v>0</v>
      </c>
      <c r="O131" s="16">
        <f>K131*10000+N131*100+L131+0.002</f>
        <v>2E-3</v>
      </c>
      <c r="P131" s="16">
        <f>RANK(O131,O130:O133,0)</f>
        <v>3</v>
      </c>
    </row>
    <row r="132" spans="1:16" ht="17" customHeight="1" x14ac:dyDescent="0.2">
      <c r="J132" s="15" t="s">
        <v>111</v>
      </c>
      <c r="K132" s="11">
        <f>IF(AND(ISNUMBER(E127),ISNUMBER(G127)),IF(E127&gt;G127,3,IF(E127=G127,1,0)),0)+IF(AND(ISNUMBER(E129),ISNUMBER(G129)),IF(E129&gt;G129,3,IF(E129=G129,1,0)),0)+IF(AND(ISNUMBER(E124),ISNUMBER(G124)),IF(G124&gt;E124,3,IF(E124=G124,1,0)),0)</f>
        <v>0</v>
      </c>
      <c r="L132" s="11">
        <f>IF(ISNUMBER(E127),E127,0)+IF(ISNUMBER(E129),E129,0)+IF(ISNUMBER(G124),G124,0)</f>
        <v>0</v>
      </c>
      <c r="M132" s="11">
        <f>IF(ISNUMBER(G127),G127,0)+IF(ISNUMBER(G129),G129,0)+IF(ISNUMBER(E124),E124,0)</f>
        <v>0</v>
      </c>
      <c r="N132" s="11">
        <f>L132-M132</f>
        <v>0</v>
      </c>
      <c r="O132" s="16">
        <f>K132*10000+N132*100+L132+0.003</f>
        <v>3.0000000000000001E-3</v>
      </c>
      <c r="P132" s="16">
        <f>RANK(O132,O130:O133,0)</f>
        <v>2</v>
      </c>
    </row>
    <row r="133" spans="1:16" ht="17" customHeight="1" x14ac:dyDescent="0.2">
      <c r="J133" s="15" t="s">
        <v>113</v>
      </c>
      <c r="K133" s="11">
        <f>IF(AND(ISNUMBER(E125),ISNUMBER(G125)),IF(G125&gt;E125,3,IF(E125=G125,1,0)),0)+IF(AND(ISNUMBER(E127),ISNUMBER(G127)),IF(G127&gt;E127,3,IF(E127=G127,1,0)),0)+IF(AND(ISNUMBER(E128),ISNUMBER(G128)),IF(G128&gt;E128,3,IF(E128=G128,1,0)),0)</f>
        <v>0</v>
      </c>
      <c r="L133" s="11">
        <f>IF(ISNUMBER(G125),G125,0)+IF(ISNUMBER(G127),G127,0)+IF(ISNUMBER(G128),G128,0)</f>
        <v>0</v>
      </c>
      <c r="M133" s="11">
        <f>IF(ISNUMBER(E125),E125,0)+IF(ISNUMBER(E127),E127,0)+IF(ISNUMBER(E128),E128,0)</f>
        <v>0</v>
      </c>
      <c r="N133" s="11">
        <f>L133-M133</f>
        <v>0</v>
      </c>
      <c r="O133" s="16">
        <f>K133*10000+N133*100+L133+0.004</f>
        <v>4.0000000000000001E-3</v>
      </c>
      <c r="P133" s="16">
        <f>RANK(O133,O130:O133,0)</f>
        <v>1</v>
      </c>
    </row>
    <row r="135" spans="1:16" ht="20" customHeight="1" x14ac:dyDescent="0.2">
      <c r="A135" s="46" t="s">
        <v>114</v>
      </c>
      <c r="B135" s="47"/>
      <c r="C135" s="47"/>
      <c r="D135" s="47"/>
      <c r="E135" s="47"/>
      <c r="F135" s="47"/>
      <c r="G135" s="47"/>
      <c r="H135" s="47"/>
      <c r="I135" s="47"/>
      <c r="J135" s="48" t="s">
        <v>115</v>
      </c>
      <c r="K135" s="47"/>
      <c r="L135" s="47"/>
      <c r="M135" s="47"/>
      <c r="N135" s="47"/>
      <c r="O135" s="47"/>
    </row>
    <row r="136" spans="1:16" ht="18" customHeight="1" x14ac:dyDescent="0.2">
      <c r="A136" s="8">
        <v>23</v>
      </c>
      <c r="B136" s="9" t="s">
        <v>84</v>
      </c>
      <c r="C136" s="8" t="s">
        <v>93</v>
      </c>
      <c r="D136" s="10" t="s">
        <v>116</v>
      </c>
      <c r="E136" s="63"/>
      <c r="F136" s="8" t="s">
        <v>7</v>
      </c>
      <c r="G136" s="63"/>
      <c r="H136" s="9" t="s">
        <v>117</v>
      </c>
      <c r="I136" s="11"/>
    </row>
    <row r="137" spans="1:16" ht="18" customHeight="1" x14ac:dyDescent="0.2">
      <c r="A137" s="12">
        <v>24</v>
      </c>
      <c r="B137" s="13" t="s">
        <v>84</v>
      </c>
      <c r="C137" s="12" t="s">
        <v>93</v>
      </c>
      <c r="D137" s="14" t="s">
        <v>118</v>
      </c>
      <c r="E137" s="63"/>
      <c r="F137" s="12" t="s">
        <v>7</v>
      </c>
      <c r="G137" s="63"/>
      <c r="H137" s="13" t="s">
        <v>119</v>
      </c>
      <c r="I137" s="11"/>
    </row>
    <row r="138" spans="1:16" ht="18" customHeight="1" x14ac:dyDescent="0.2">
      <c r="A138" s="8">
        <v>47</v>
      </c>
      <c r="B138" s="9" t="s">
        <v>101</v>
      </c>
      <c r="C138" s="8" t="s">
        <v>60</v>
      </c>
      <c r="D138" s="10" t="s">
        <v>116</v>
      </c>
      <c r="E138" s="63"/>
      <c r="F138" s="8" t="s">
        <v>7</v>
      </c>
      <c r="G138" s="63"/>
      <c r="H138" s="9" t="s">
        <v>118</v>
      </c>
      <c r="I138" s="11"/>
    </row>
    <row r="139" spans="1:16" ht="18" customHeight="1" x14ac:dyDescent="0.2">
      <c r="A139" s="12">
        <v>48</v>
      </c>
      <c r="B139" s="13" t="s">
        <v>101</v>
      </c>
      <c r="C139" s="12" t="s">
        <v>68</v>
      </c>
      <c r="D139" s="14" t="s">
        <v>117</v>
      </c>
      <c r="E139" s="63"/>
      <c r="F139" s="12" t="s">
        <v>7</v>
      </c>
      <c r="G139" s="63"/>
      <c r="H139" s="13" t="s">
        <v>119</v>
      </c>
      <c r="I139" s="11"/>
    </row>
    <row r="140" spans="1:16" ht="18" customHeight="1" x14ac:dyDescent="0.2">
      <c r="A140" s="8">
        <v>71</v>
      </c>
      <c r="B140" s="9" t="s">
        <v>96</v>
      </c>
      <c r="C140" s="8" t="s">
        <v>68</v>
      </c>
      <c r="D140" s="10" t="s">
        <v>116</v>
      </c>
      <c r="E140" s="63"/>
      <c r="F140" s="8" t="s">
        <v>7</v>
      </c>
      <c r="G140" s="63"/>
      <c r="H140" s="9" t="s">
        <v>119</v>
      </c>
      <c r="I140" s="11"/>
    </row>
    <row r="141" spans="1:16" ht="18" customHeight="1" x14ac:dyDescent="0.2">
      <c r="A141" s="12">
        <v>72</v>
      </c>
      <c r="B141" s="13" t="s">
        <v>96</v>
      </c>
      <c r="C141" s="12" t="s">
        <v>60</v>
      </c>
      <c r="D141" s="14" t="s">
        <v>117</v>
      </c>
      <c r="E141" s="63"/>
      <c r="F141" s="12" t="s">
        <v>7</v>
      </c>
      <c r="G141" s="63"/>
      <c r="H141" s="13" t="s">
        <v>118</v>
      </c>
      <c r="I141" s="11"/>
    </row>
    <row r="142" spans="1:16" ht="17" customHeight="1" x14ac:dyDescent="0.2">
      <c r="J142" s="15" t="s">
        <v>116</v>
      </c>
      <c r="K142" s="11">
        <f>IF(AND(ISNUMBER(E136),ISNUMBER(G136)),IF(E136&gt;G136,3,IF(E136=G136,1,0)),0)+IF(AND(ISNUMBER(E138),ISNUMBER(G138)),IF(E138&gt;G138,3,IF(E138=G138,1,0)),0)+IF(AND(ISNUMBER(E140),ISNUMBER(G140)),IF(E140&gt;G140,3,IF(E140=G140,1,0)),0)</f>
        <v>0</v>
      </c>
      <c r="L142" s="11">
        <f>IF(ISNUMBER(E136),E136,0)+IF(ISNUMBER(E138),E138,0)+IF(ISNUMBER(E140),E140,0)</f>
        <v>0</v>
      </c>
      <c r="M142" s="11">
        <f>IF(ISNUMBER(G136),G136,0)+IF(ISNUMBER(G138),G138,0)+IF(ISNUMBER(G140),G140,0)</f>
        <v>0</v>
      </c>
      <c r="N142" s="11">
        <f>L142-M142</f>
        <v>0</v>
      </c>
      <c r="O142" s="16">
        <f>K142*10000+N142*100+L142+0.001</f>
        <v>1E-3</v>
      </c>
      <c r="P142" s="16">
        <f>RANK(O142,O142:O145,0)</f>
        <v>4</v>
      </c>
    </row>
    <row r="143" spans="1:16" ht="17" customHeight="1" x14ac:dyDescent="0.2">
      <c r="J143" s="15" t="s">
        <v>118</v>
      </c>
      <c r="K143" s="11">
        <f>IF(AND(ISNUMBER(E137),ISNUMBER(G137)),IF(E137&gt;G137,3,IF(E137=G137,1,0)),0)+IF(AND(ISNUMBER(E138),ISNUMBER(G138)),IF(G138&gt;E138,3,IF(E138=G138,1,0)),0)+IF(AND(ISNUMBER(E141),ISNUMBER(G141)),IF(G141&gt;E141,3,IF(E141=G141,1,0)),0)</f>
        <v>0</v>
      </c>
      <c r="L143" s="11">
        <f>IF(ISNUMBER(E137),E137,0)+IF(ISNUMBER(G138),G138,0)+IF(ISNUMBER(G141),G141,0)</f>
        <v>0</v>
      </c>
      <c r="M143" s="11">
        <f>IF(ISNUMBER(G137),G137,0)+IF(ISNUMBER(E138),E138,0)+IF(ISNUMBER(E141),E141,0)</f>
        <v>0</v>
      </c>
      <c r="N143" s="11">
        <f>L143-M143</f>
        <v>0</v>
      </c>
      <c r="O143" s="16">
        <f>K143*10000+N143*100+L143+0.002</f>
        <v>2E-3</v>
      </c>
      <c r="P143" s="16">
        <f>RANK(O143,O142:O145,0)</f>
        <v>3</v>
      </c>
    </row>
    <row r="144" spans="1:16" ht="17" customHeight="1" x14ac:dyDescent="0.2">
      <c r="J144" s="15" t="s">
        <v>117</v>
      </c>
      <c r="K144" s="11">
        <f>IF(AND(ISNUMBER(E139),ISNUMBER(G139)),IF(E139&gt;G139,3,IF(E139=G139,1,0)),0)+IF(AND(ISNUMBER(E141),ISNUMBER(G141)),IF(E141&gt;G141,3,IF(E141=G141,1,0)),0)+IF(AND(ISNUMBER(E136),ISNUMBER(G136)),IF(G136&gt;E136,3,IF(E136=G136,1,0)),0)</f>
        <v>0</v>
      </c>
      <c r="L144" s="11">
        <f>IF(ISNUMBER(E139),E139,0)+IF(ISNUMBER(E141),E141,0)+IF(ISNUMBER(G136),G136,0)</f>
        <v>0</v>
      </c>
      <c r="M144" s="11">
        <f>IF(ISNUMBER(G139),G139,0)+IF(ISNUMBER(G141),G141,0)+IF(ISNUMBER(E136),E136,0)</f>
        <v>0</v>
      </c>
      <c r="N144" s="11">
        <f>L144-M144</f>
        <v>0</v>
      </c>
      <c r="O144" s="16">
        <f>K144*10000+N144*100+L144+0.003</f>
        <v>3.0000000000000001E-3</v>
      </c>
      <c r="P144" s="16">
        <f>RANK(O144,O142:O145,0)</f>
        <v>2</v>
      </c>
    </row>
    <row r="145" spans="1:16" ht="17" customHeight="1" x14ac:dyDescent="0.2">
      <c r="J145" s="15" t="s">
        <v>119</v>
      </c>
      <c r="K145" s="11">
        <f>IF(AND(ISNUMBER(E137),ISNUMBER(G137)),IF(G137&gt;E137,3,IF(E137=G137,1,0)),0)+IF(AND(ISNUMBER(E139),ISNUMBER(G139)),IF(G139&gt;E139,3,IF(E139=G139,1,0)),0)+IF(AND(ISNUMBER(E140),ISNUMBER(G140)),IF(G140&gt;E140,3,IF(E140=G140,1,0)),0)</f>
        <v>0</v>
      </c>
      <c r="L145" s="11">
        <f>IF(ISNUMBER(G137),G137,0)+IF(ISNUMBER(G139),G139,0)+IF(ISNUMBER(G140),G140,0)</f>
        <v>0</v>
      </c>
      <c r="M145" s="11">
        <f>IF(ISNUMBER(E137),E137,0)+IF(ISNUMBER(E139),E139,0)+IF(ISNUMBER(E140),E140,0)</f>
        <v>0</v>
      </c>
      <c r="N145" s="11">
        <f>L145-M145</f>
        <v>0</v>
      </c>
      <c r="O145" s="16">
        <f>K145*10000+N145*100+L145+0.004</f>
        <v>4.0000000000000001E-3</v>
      </c>
      <c r="P145" s="16">
        <f>RANK(O145,O142:O145,0)</f>
        <v>1</v>
      </c>
    </row>
    <row r="148" spans="1:16" ht="20" customHeight="1" x14ac:dyDescent="0.2">
      <c r="A148" s="58" t="s">
        <v>120</v>
      </c>
      <c r="B148" s="47"/>
      <c r="C148" s="47"/>
      <c r="D148" s="47"/>
      <c r="E148" s="47"/>
      <c r="F148" s="47"/>
      <c r="G148" s="47"/>
      <c r="H148" s="47"/>
      <c r="I148" s="47"/>
      <c r="J148" s="56" t="s">
        <v>121</v>
      </c>
      <c r="K148" s="47"/>
      <c r="L148" s="47"/>
      <c r="M148" s="47"/>
      <c r="N148" s="47"/>
    </row>
    <row r="149" spans="1:16" ht="17" customHeight="1" x14ac:dyDescent="0.2">
      <c r="J149" s="7" t="s">
        <v>122</v>
      </c>
      <c r="K149" s="7" t="s">
        <v>12</v>
      </c>
      <c r="L149" s="7" t="s">
        <v>13</v>
      </c>
      <c r="M149" s="7" t="s">
        <v>14</v>
      </c>
      <c r="N149" s="7" t="s">
        <v>15</v>
      </c>
    </row>
    <row r="150" spans="1:16" ht="17" customHeight="1" x14ac:dyDescent="0.2">
      <c r="A150" s="7" t="s">
        <v>123</v>
      </c>
      <c r="J150" s="17" t="str">
        <f>IF(SUM(K10:K13)=0,"Por definir",IFERROR(INDEX(J10:J13,MATCH(3,P10:P13,0)),"Por definir"))</f>
        <v>Por definir</v>
      </c>
      <c r="K150" s="18">
        <f>IF(SUM(K10:K13)=0,0,IFERROR(INDEX(K10:K13,MATCH(3,P10:P13,0)),0))</f>
        <v>0</v>
      </c>
      <c r="L150" s="18">
        <f>IF(SUM(K10:K13)=0,0,IFERROR(INDEX(L10:L13,MATCH(3,P10:P13,0)),0))</f>
        <v>0</v>
      </c>
      <c r="M150" s="18">
        <f>IF(SUM(K10:K13)=0,0,IFERROR(INDEX(M10:M13,MATCH(3,P10:P13,0)),0))</f>
        <v>0</v>
      </c>
      <c r="N150" s="18">
        <f>IF(SUM(K10:K13)=0,0,L150-M150)</f>
        <v>0</v>
      </c>
      <c r="O150" s="16">
        <f>IF(SUM(K10:K13)=0,-99999+0.001,K150*10000+N150*100+L150+0.001)</f>
        <v>-99998.998999999996</v>
      </c>
      <c r="P150" s="16">
        <f>RANK(O150,O150:O161,0)</f>
        <v>12</v>
      </c>
    </row>
    <row r="151" spans="1:16" ht="17" customHeight="1" x14ac:dyDescent="0.2">
      <c r="A151" s="7" t="s">
        <v>124</v>
      </c>
      <c r="J151" s="17" t="str">
        <f>IF(SUM(K22:K25)=0,"Por definir",IFERROR(INDEX(J22:J25,MATCH(3,P22:P25,0)),"Por definir"))</f>
        <v>Por definir</v>
      </c>
      <c r="K151" s="18">
        <f>IF(SUM(K22:K25)=0,0,IFERROR(INDEX(K22:K25,MATCH(3,P22:P25,0)),0))</f>
        <v>0</v>
      </c>
      <c r="L151" s="18">
        <f>IF(SUM(K22:K25)=0,0,IFERROR(INDEX(L22:L25,MATCH(3,P22:P25,0)),0))</f>
        <v>0</v>
      </c>
      <c r="M151" s="18">
        <f>IF(SUM(K22:K25)=0,0,IFERROR(INDEX(M22:M25,MATCH(3,P22:P25,0)),0))</f>
        <v>0</v>
      </c>
      <c r="N151" s="18">
        <f>IF(SUM(K22:K25)=0,0,L151-M151)</f>
        <v>0</v>
      </c>
      <c r="O151" s="16">
        <f>IF(SUM(K22:K25)=0,-99999+0.002,K151*10000+N151*100+L151+0.002)</f>
        <v>-99998.998000000007</v>
      </c>
      <c r="P151" s="16">
        <f>RANK(O151,O150:O161,0)</f>
        <v>11</v>
      </c>
    </row>
    <row r="152" spans="1:16" ht="17" customHeight="1" x14ac:dyDescent="0.2">
      <c r="A152" s="7" t="s">
        <v>14</v>
      </c>
      <c r="J152" s="17" t="str">
        <f>IF(SUM(K34:K37)=0,"Por definir",IFERROR(INDEX(J34:J37,MATCH(3,P34:P37,0)),"Por definir"))</f>
        <v>Por definir</v>
      </c>
      <c r="K152" s="18">
        <f>IF(SUM(K34:K37)=0,0,IFERROR(INDEX(K34:K37,MATCH(3,P34:P37,0)),0))</f>
        <v>0</v>
      </c>
      <c r="L152" s="18">
        <f>IF(SUM(K34:K37)=0,0,IFERROR(INDEX(L34:L37,MATCH(3,P34:P37,0)),0))</f>
        <v>0</v>
      </c>
      <c r="M152" s="18">
        <f>IF(SUM(K34:K37)=0,0,IFERROR(INDEX(M34:M37,MATCH(3,P34:P37,0)),0))</f>
        <v>0</v>
      </c>
      <c r="N152" s="18">
        <f>IF(SUM(K34:K37)=0,0,L152-M152)</f>
        <v>0</v>
      </c>
      <c r="O152" s="16">
        <f>IF(SUM(K34:K37)=0,-99999+0.003,K152*10000+N152*100+L152+0.003)</f>
        <v>-99998.997000000003</v>
      </c>
      <c r="P152" s="16">
        <f>RANK(O152,O150:O161,0)</f>
        <v>10</v>
      </c>
    </row>
    <row r="153" spans="1:16" ht="17" customHeight="1" x14ac:dyDescent="0.2">
      <c r="A153" s="7" t="s">
        <v>125</v>
      </c>
      <c r="J153" s="17" t="str">
        <f>IF(SUM(K46:K49)=0,"Por definir",IFERROR(INDEX(J46:J49,MATCH(3,P46:P49,0)),"Por definir"))</f>
        <v>Por definir</v>
      </c>
      <c r="K153" s="18">
        <f>IF(SUM(K46:K49)=0,0,IFERROR(INDEX(K46:K49,MATCH(3,P46:P49,0)),0))</f>
        <v>0</v>
      </c>
      <c r="L153" s="18">
        <f>IF(SUM(K46:K49)=0,0,IFERROR(INDEX(L46:L49,MATCH(3,P46:P49,0)),0))</f>
        <v>0</v>
      </c>
      <c r="M153" s="18">
        <f>IF(SUM(K46:K49)=0,0,IFERROR(INDEX(M46:M49,MATCH(3,P46:P49,0)),0))</f>
        <v>0</v>
      </c>
      <c r="N153" s="18">
        <f>IF(SUM(K46:K49)=0,0,L153-M153)</f>
        <v>0</v>
      </c>
      <c r="O153" s="16">
        <f>IF(SUM(K46:K49)=0,-99999+0.004,K153*10000+N153*100+L153+0.004)</f>
        <v>-99998.995999999999</v>
      </c>
      <c r="P153" s="16">
        <f>RANK(O153,O150:O161,0)</f>
        <v>9</v>
      </c>
    </row>
    <row r="154" spans="1:16" ht="17" customHeight="1" x14ac:dyDescent="0.2">
      <c r="A154" s="7" t="s">
        <v>126</v>
      </c>
      <c r="J154" s="17" t="str">
        <f>IF(SUM(K58:K61)=0,"Por definir",IFERROR(INDEX(J58:J61,MATCH(3,P58:P61,0)),"Por definir"))</f>
        <v>Por definir</v>
      </c>
      <c r="K154" s="18">
        <f>IF(SUM(K58:K61)=0,0,IFERROR(INDEX(K58:K61,MATCH(3,P58:P61,0)),0))</f>
        <v>0</v>
      </c>
      <c r="L154" s="18">
        <f>IF(SUM(K58:K61)=0,0,IFERROR(INDEX(L58:L61,MATCH(3,P58:P61,0)),0))</f>
        <v>0</v>
      </c>
      <c r="M154" s="18">
        <f>IF(SUM(K58:K61)=0,0,IFERROR(INDEX(M58:M61,MATCH(3,P58:P61,0)),0))</f>
        <v>0</v>
      </c>
      <c r="N154" s="18">
        <f>IF(SUM(K58:K61)=0,0,L154-M154)</f>
        <v>0</v>
      </c>
      <c r="O154" s="16">
        <f>IF(SUM(K58:K61)=0,-99999+0.005,K154*10000+N154*100+L154+0.005)</f>
        <v>-99998.994999999995</v>
      </c>
      <c r="P154" s="16">
        <f>RANK(O154,O150:O161,0)</f>
        <v>8</v>
      </c>
    </row>
    <row r="155" spans="1:16" ht="17" customHeight="1" x14ac:dyDescent="0.2">
      <c r="A155" s="7" t="s">
        <v>13</v>
      </c>
      <c r="J155" s="17" t="str">
        <f>IF(SUM(K70:K73)=0,"Por definir",IFERROR(INDEX(J70:J73,MATCH(3,P70:P73,0)),"Por definir"))</f>
        <v>Por definir</v>
      </c>
      <c r="K155" s="18">
        <f>IF(SUM(K70:K73)=0,0,IFERROR(INDEX(K70:K73,MATCH(3,P70:P73,0)),0))</f>
        <v>0</v>
      </c>
      <c r="L155" s="18">
        <f>IF(SUM(K70:K73)=0,0,IFERROR(INDEX(L70:L73,MATCH(3,P70:P73,0)),0))</f>
        <v>0</v>
      </c>
      <c r="M155" s="18">
        <f>IF(SUM(K70:K73)=0,0,IFERROR(INDEX(M70:M73,MATCH(3,P70:P73,0)),0))</f>
        <v>0</v>
      </c>
      <c r="N155" s="18">
        <f>IF(SUM(K70:K73)=0,0,L155-M155)</f>
        <v>0</v>
      </c>
      <c r="O155" s="16">
        <f>IF(SUM(K70:K73)=0,-99999+0.006,K155*10000+N155*100+L155+0.006)</f>
        <v>-99998.994000000006</v>
      </c>
      <c r="P155" s="16">
        <f>RANK(O155,O150:O161,0)</f>
        <v>7</v>
      </c>
    </row>
    <row r="156" spans="1:16" ht="17" customHeight="1" x14ac:dyDescent="0.2">
      <c r="A156" s="7" t="s">
        <v>127</v>
      </c>
      <c r="J156" s="17" t="str">
        <f>IF(SUM(K82:K85)=0,"Por definir",IFERROR(INDEX(J82:J85,MATCH(3,P82:P85,0)),"Por definir"))</f>
        <v>Por definir</v>
      </c>
      <c r="K156" s="18">
        <f>IF(SUM(K82:K85)=0,0,IFERROR(INDEX(K82:K85,MATCH(3,P82:P85,0)),0))</f>
        <v>0</v>
      </c>
      <c r="L156" s="18">
        <f>IF(SUM(K82:K85)=0,0,IFERROR(INDEX(L82:L85,MATCH(3,P82:P85,0)),0))</f>
        <v>0</v>
      </c>
      <c r="M156" s="18">
        <f>IF(SUM(K82:K85)=0,0,IFERROR(INDEX(M82:M85,MATCH(3,P82:P85,0)),0))</f>
        <v>0</v>
      </c>
      <c r="N156" s="18">
        <f>IF(SUM(K82:K85)=0,0,L156-M156)</f>
        <v>0</v>
      </c>
      <c r="O156" s="16">
        <f>IF(SUM(K82:K85)=0,-99999+0.007,K156*10000+N156*100+L156+0.007)</f>
        <v>-99998.993000000002</v>
      </c>
      <c r="P156" s="16">
        <f>RANK(O156,O150:O161,0)</f>
        <v>6</v>
      </c>
    </row>
    <row r="157" spans="1:16" ht="17" customHeight="1" x14ac:dyDescent="0.2">
      <c r="A157" s="7" t="s">
        <v>128</v>
      </c>
      <c r="J157" s="17" t="str">
        <f>IF(SUM(K94:K97)=0,"Por definir",IFERROR(INDEX(J94:J97,MATCH(3,P94:P97,0)),"Por definir"))</f>
        <v>Por definir</v>
      </c>
      <c r="K157" s="18">
        <f>IF(SUM(K94:K97)=0,0,IFERROR(INDEX(K94:K97,MATCH(3,P94:P97,0)),0))</f>
        <v>0</v>
      </c>
      <c r="L157" s="18">
        <f>IF(SUM(K94:K97)=0,0,IFERROR(INDEX(L94:L97,MATCH(3,P94:P97,0)),0))</f>
        <v>0</v>
      </c>
      <c r="M157" s="18">
        <f>IF(SUM(K94:K97)=0,0,IFERROR(INDEX(M94:M97,MATCH(3,P94:P97,0)),0))</f>
        <v>0</v>
      </c>
      <c r="N157" s="18">
        <f>IF(SUM(K94:K97)=0,0,L157-M157)</f>
        <v>0</v>
      </c>
      <c r="O157" s="16">
        <f>IF(SUM(K94:K97)=0,-99999+0.008,K157*10000+N157*100+L157+0.008)</f>
        <v>-99998.991999999998</v>
      </c>
      <c r="P157" s="16">
        <f>RANK(O157,O150:O161,0)</f>
        <v>5</v>
      </c>
    </row>
    <row r="158" spans="1:16" ht="17" customHeight="1" x14ac:dyDescent="0.2">
      <c r="A158" s="7" t="s">
        <v>129</v>
      </c>
      <c r="J158" s="17" t="str">
        <f>IF(SUM(K106:K109)=0,"Por definir",IFERROR(INDEX(J106:J109,MATCH(3,P106:P109,0)),"Por definir"))</f>
        <v>Por definir</v>
      </c>
      <c r="K158" s="18">
        <f>IF(SUM(K106:K109)=0,0,IFERROR(INDEX(K106:K109,MATCH(3,P106:P109,0)),0))</f>
        <v>0</v>
      </c>
      <c r="L158" s="18">
        <f>IF(SUM(K106:K109)=0,0,IFERROR(INDEX(L106:L109,MATCH(3,P106:P109,0)),0))</f>
        <v>0</v>
      </c>
      <c r="M158" s="18">
        <f>IF(SUM(K106:K109)=0,0,IFERROR(INDEX(M106:M109,MATCH(3,P106:P109,0)),0))</f>
        <v>0</v>
      </c>
      <c r="N158" s="18">
        <f>IF(SUM(K106:K109)=0,0,L158-M158)</f>
        <v>0</v>
      </c>
      <c r="O158" s="16">
        <f>IF(SUM(K106:K109)=0,-99999+0.009,K158*10000+N158*100+L158+0.009)</f>
        <v>-99998.990999999995</v>
      </c>
      <c r="P158" s="16">
        <f>RANK(O158,O150:O161,0)</f>
        <v>4</v>
      </c>
    </row>
    <row r="159" spans="1:16" ht="17" customHeight="1" x14ac:dyDescent="0.2">
      <c r="A159" s="7" t="s">
        <v>130</v>
      </c>
      <c r="J159" s="17" t="str">
        <f>IF(SUM(K118:K121)=0,"Por definir",IFERROR(INDEX(J118:J121,MATCH(3,P118:P121,0)),"Por definir"))</f>
        <v>Por definir</v>
      </c>
      <c r="K159" s="18">
        <f>IF(SUM(K118:K121)=0,0,IFERROR(INDEX(K118:K121,MATCH(3,P118:P121,0)),0))</f>
        <v>0</v>
      </c>
      <c r="L159" s="18">
        <f>IF(SUM(K118:K121)=0,0,IFERROR(INDEX(L118:L121,MATCH(3,P118:P121,0)),0))</f>
        <v>0</v>
      </c>
      <c r="M159" s="18">
        <f>IF(SUM(K118:K121)=0,0,IFERROR(INDEX(M118:M121,MATCH(3,P118:P121,0)),0))</f>
        <v>0</v>
      </c>
      <c r="N159" s="18">
        <f>IF(SUM(K118:K121)=0,0,L159-M159)</f>
        <v>0</v>
      </c>
      <c r="O159" s="16">
        <f>IF(SUM(K118:K121)=0,-99999+0.01,K159*10000+N159*100+L159+0.01)</f>
        <v>-99998.99</v>
      </c>
      <c r="P159" s="16">
        <f>RANK(O159,O150:O161,0)</f>
        <v>3</v>
      </c>
    </row>
    <row r="160" spans="1:16" ht="17" customHeight="1" x14ac:dyDescent="0.2">
      <c r="A160" s="7" t="s">
        <v>131</v>
      </c>
      <c r="J160" s="17" t="str">
        <f>IF(SUM(K130:K133)=0,"Por definir",IFERROR(INDEX(J130:J133,MATCH(3,P130:P133,0)),"Por definir"))</f>
        <v>Por definir</v>
      </c>
      <c r="K160" s="18">
        <f>IF(SUM(K130:K133)=0,0,IFERROR(INDEX(K130:K133,MATCH(3,P130:P133,0)),0))</f>
        <v>0</v>
      </c>
      <c r="L160" s="18">
        <f>IF(SUM(K130:K133)=0,0,IFERROR(INDEX(L130:L133,MATCH(3,P130:P133,0)),0))</f>
        <v>0</v>
      </c>
      <c r="M160" s="18">
        <f>IF(SUM(K130:K133)=0,0,IFERROR(INDEX(M130:M133,MATCH(3,P130:P133,0)),0))</f>
        <v>0</v>
      </c>
      <c r="N160" s="18">
        <f>IF(SUM(K130:K133)=0,0,L160-M160)</f>
        <v>0</v>
      </c>
      <c r="O160" s="16">
        <f>IF(SUM(K130:K133)=0,-99999+0.011,K160*10000+N160*100+L160+0.011)</f>
        <v>-99998.989000000001</v>
      </c>
      <c r="P160" s="16">
        <f>RANK(O160,O150:O161,0)</f>
        <v>2</v>
      </c>
    </row>
    <row r="161" spans="1:16" ht="17" customHeight="1" x14ac:dyDescent="0.2">
      <c r="A161" s="7" t="s">
        <v>132</v>
      </c>
      <c r="J161" s="17" t="str">
        <f>IF(SUM(K142:K145)=0,"Por definir",IFERROR(INDEX(J142:J145,MATCH(3,P142:P145,0)),"Por definir"))</f>
        <v>Por definir</v>
      </c>
      <c r="K161" s="18">
        <f>IF(SUM(K142:K145)=0,0,IFERROR(INDEX(K142:K145,MATCH(3,P142:P145,0)),0))</f>
        <v>0</v>
      </c>
      <c r="L161" s="18">
        <f>IF(SUM(K142:K145)=0,0,IFERROR(INDEX(L142:L145,MATCH(3,P142:P145,0)),0))</f>
        <v>0</v>
      </c>
      <c r="M161" s="18">
        <f>IF(SUM(K142:K145)=0,0,IFERROR(INDEX(M142:M145,MATCH(3,P142:P145,0)),0))</f>
        <v>0</v>
      </c>
      <c r="N161" s="18">
        <f>IF(SUM(K142:K145)=0,0,L161-M161)</f>
        <v>0</v>
      </c>
      <c r="O161" s="16">
        <f>IF(SUM(K142:K145)=0,-99999+0.012,K161*10000+N161*100+L161+0.012)</f>
        <v>-99998.987999999998</v>
      </c>
      <c r="P161" s="16">
        <f>RANK(O161,O150:O161,0)</f>
        <v>1</v>
      </c>
    </row>
    <row r="164" spans="1:16" ht="24" customHeight="1" x14ac:dyDescent="0.2">
      <c r="A164" s="57" t="s">
        <v>133</v>
      </c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</row>
    <row r="165" spans="1:16" ht="18" customHeight="1" x14ac:dyDescent="0.2">
      <c r="A165" s="19">
        <v>1</v>
      </c>
      <c r="B165" s="20" t="s">
        <v>134</v>
      </c>
      <c r="C165" s="19"/>
      <c r="D165" s="21" t="str">
        <f>IF(SUM(K10:K13)=0,"Por definir",IFERROR(INDEX(J10:J13,MATCH(1,P10:P13,0)),"Por definir"))</f>
        <v>Por definir</v>
      </c>
      <c r="E165" s="63"/>
      <c r="F165" s="19" t="s">
        <v>7</v>
      </c>
      <c r="G165" s="63"/>
      <c r="H165" s="22" t="str">
        <f>IF(SUM(K22:K25)=0,"Por definir",IFERROR(INDEX(J22:J25,MATCH(2,P22:P25,0)),"Por definir"))</f>
        <v>Por definir</v>
      </c>
      <c r="I165" s="64"/>
    </row>
    <row r="166" spans="1:16" ht="18" customHeight="1" x14ac:dyDescent="0.2">
      <c r="A166" s="19">
        <v>2</v>
      </c>
      <c r="B166" s="20" t="s">
        <v>135</v>
      </c>
      <c r="C166" s="19"/>
      <c r="D166" s="21" t="str">
        <f>IF(SUM(K34:K37)=0,"Por definir",IFERROR(INDEX(J34:J37,MATCH(1,P34:P37,0)),"Por definir"))</f>
        <v>Por definir</v>
      </c>
      <c r="E166" s="63"/>
      <c r="F166" s="19" t="s">
        <v>7</v>
      </c>
      <c r="G166" s="63"/>
      <c r="H166" s="22" t="str">
        <f>IF(SUM(K46:K49)=0,"Por definir",IFERROR(INDEX(J46:J49,MATCH(2,P46:P49,0)),"Por definir"))</f>
        <v>Por definir</v>
      </c>
      <c r="I166" s="64"/>
    </row>
    <row r="167" spans="1:16" ht="18" customHeight="1" x14ac:dyDescent="0.2">
      <c r="A167" s="19">
        <v>3</v>
      </c>
      <c r="B167" s="20" t="s">
        <v>136</v>
      </c>
      <c r="C167" s="19"/>
      <c r="D167" s="21" t="str">
        <f>IF(SUM(K58:K61)=0,"Por definir",IFERROR(INDEX(J58:J61,MATCH(1,P58:P61,0)),"Por definir"))</f>
        <v>Por definir</v>
      </c>
      <c r="E167" s="63"/>
      <c r="F167" s="19" t="s">
        <v>7</v>
      </c>
      <c r="G167" s="63"/>
      <c r="H167" s="22" t="str">
        <f>IF(SUM(K70:K73)=0,"Por definir",IFERROR(INDEX(J70:J73,MATCH(2,P70:P73,0)),"Por definir"))</f>
        <v>Por definir</v>
      </c>
      <c r="I167" s="64"/>
    </row>
    <row r="168" spans="1:16" ht="18" customHeight="1" x14ac:dyDescent="0.2">
      <c r="A168" s="19">
        <v>4</v>
      </c>
      <c r="B168" s="20" t="s">
        <v>137</v>
      </c>
      <c r="C168" s="19"/>
      <c r="D168" s="21" t="str">
        <f>IF(SUM(K82:K85)=0,"Por definir",IFERROR(INDEX(J82:J85,MATCH(1,P82:P85,0)),"Por definir"))</f>
        <v>Por definir</v>
      </c>
      <c r="E168" s="63"/>
      <c r="F168" s="19" t="s">
        <v>7</v>
      </c>
      <c r="G168" s="63"/>
      <c r="H168" s="22" t="str">
        <f>IF(SUM(K94:K97)=0,"Por definir",IFERROR(INDEX(J94:J97,MATCH(2,P94:P97,0)),"Por definir"))</f>
        <v>Por definir</v>
      </c>
      <c r="I168" s="64"/>
    </row>
    <row r="169" spans="1:16" ht="18" customHeight="1" x14ac:dyDescent="0.2">
      <c r="A169" s="19">
        <v>5</v>
      </c>
      <c r="B169" s="20" t="s">
        <v>138</v>
      </c>
      <c r="C169" s="19"/>
      <c r="D169" s="21" t="str">
        <f>IF(SUM(K22:K25)=0,"Por definir",IFERROR(INDEX(J22:J25,MATCH(1,P22:P25,0)),"Por definir"))</f>
        <v>Por definir</v>
      </c>
      <c r="E169" s="63"/>
      <c r="F169" s="19" t="s">
        <v>7</v>
      </c>
      <c r="G169" s="63"/>
      <c r="H169" s="22" t="str">
        <f>IF(SUM(K10:K13)=0,"Por definir",IFERROR(INDEX(J10:J13,MATCH(2,P10:P13,0)),"Por definir"))</f>
        <v>Por definir</v>
      </c>
      <c r="I169" s="64"/>
    </row>
    <row r="170" spans="1:16" ht="18" customHeight="1" x14ac:dyDescent="0.2">
      <c r="A170" s="19">
        <v>6</v>
      </c>
      <c r="B170" s="20" t="s">
        <v>139</v>
      </c>
      <c r="C170" s="19"/>
      <c r="D170" s="21" t="str">
        <f>IF(SUM(K46:K49)=0,"Por definir",IFERROR(INDEX(J46:J49,MATCH(1,P46:P49,0)),"Por definir"))</f>
        <v>Por definir</v>
      </c>
      <c r="E170" s="63"/>
      <c r="F170" s="19" t="s">
        <v>7</v>
      </c>
      <c r="G170" s="63"/>
      <c r="H170" s="22" t="str">
        <f>IF(SUM(K34:K37)=0,"Por definir",IFERROR(INDEX(J34:J37,MATCH(2,P34:P37,0)),"Por definir"))</f>
        <v>Por definir</v>
      </c>
      <c r="I170" s="64"/>
    </row>
    <row r="171" spans="1:16" ht="18" customHeight="1" x14ac:dyDescent="0.2">
      <c r="A171" s="19">
        <v>7</v>
      </c>
      <c r="B171" s="20" t="s">
        <v>140</v>
      </c>
      <c r="C171" s="19"/>
      <c r="D171" s="21" t="str">
        <f>IF(SUM(K70:K73)=0,"Por definir",IFERROR(INDEX(J70:J73,MATCH(1,P70:P73,0)),"Por definir"))</f>
        <v>Por definir</v>
      </c>
      <c r="E171" s="63"/>
      <c r="F171" s="19" t="s">
        <v>7</v>
      </c>
      <c r="G171" s="63"/>
      <c r="H171" s="22" t="str">
        <f>IF(SUM(K58:K61)=0,"Por definir",IFERROR(INDEX(J58:J61,MATCH(2,P58:P61,0)),"Por definir"))</f>
        <v>Por definir</v>
      </c>
      <c r="I171" s="64"/>
    </row>
    <row r="172" spans="1:16" ht="18" customHeight="1" x14ac:dyDescent="0.2">
      <c r="A172" s="19">
        <v>8</v>
      </c>
      <c r="B172" s="20" t="s">
        <v>141</v>
      </c>
      <c r="C172" s="19"/>
      <c r="D172" s="21" t="str">
        <f>IF(SUM(K94:K97)=0,"Por definir",IFERROR(INDEX(J94:J97,MATCH(1,P94:P97,0)),"Por definir"))</f>
        <v>Por definir</v>
      </c>
      <c r="E172" s="63"/>
      <c r="F172" s="19" t="s">
        <v>7</v>
      </c>
      <c r="G172" s="63"/>
      <c r="H172" s="22" t="str">
        <f>IF(SUM(K82:K85)=0,"Por definir",IFERROR(INDEX(J82:J85,MATCH(2,P82:P85,0)),"Por definir"))</f>
        <v>Por definir</v>
      </c>
      <c r="I172" s="64"/>
    </row>
    <row r="173" spans="1:16" ht="18" customHeight="1" x14ac:dyDescent="0.2">
      <c r="A173" s="19">
        <v>9</v>
      </c>
      <c r="B173" s="20" t="s">
        <v>142</v>
      </c>
      <c r="C173" s="19"/>
      <c r="D173" s="21" t="str">
        <f>IF(SUM(K106:K109)=0,"Por definir",IFERROR(INDEX(J106:J109,MATCH(1,P106:P109,0)),"Por definir"))</f>
        <v>Por definir</v>
      </c>
      <c r="E173" s="63"/>
      <c r="F173" s="19" t="s">
        <v>7</v>
      </c>
      <c r="G173" s="63"/>
      <c r="H173" s="22" t="str">
        <f>IF(SUM(K118:K121)=0,"Por definir",IFERROR(INDEX(J118:J121,MATCH(2,P118:P121,0)),"Por definir"))</f>
        <v>Por definir</v>
      </c>
      <c r="I173" s="64"/>
    </row>
    <row r="174" spans="1:16" ht="18" customHeight="1" x14ac:dyDescent="0.2">
      <c r="A174" s="19">
        <v>10</v>
      </c>
      <c r="B174" s="20" t="s">
        <v>143</v>
      </c>
      <c r="C174" s="19"/>
      <c r="D174" s="21" t="str">
        <f>IF(SUM(K130:K133)=0,"Por definir",IFERROR(INDEX(J130:J133,MATCH(1,P130:P133,0)),"Por definir"))</f>
        <v>Por definir</v>
      </c>
      <c r="E174" s="63"/>
      <c r="F174" s="19" t="s">
        <v>7</v>
      </c>
      <c r="G174" s="63"/>
      <c r="H174" s="22" t="str">
        <f>IF(SUM(K142:K145)=0,"Por definir",IFERROR(INDEX(J142:J145,MATCH(2,P142:P145,0)),"Por definir"))</f>
        <v>Por definir</v>
      </c>
      <c r="I174" s="64"/>
    </row>
    <row r="175" spans="1:16" ht="18" customHeight="1" x14ac:dyDescent="0.2">
      <c r="A175" s="19">
        <v>11</v>
      </c>
      <c r="B175" s="20" t="s">
        <v>144</v>
      </c>
      <c r="C175" s="19"/>
      <c r="D175" s="21" t="str">
        <f>IF(SUM(K118:K121)=0,"Por definir",IFERROR(INDEX(J118:J121,MATCH(1,P118:P121,0)),"Por definir"))</f>
        <v>Por definir</v>
      </c>
      <c r="E175" s="63"/>
      <c r="F175" s="19" t="s">
        <v>7</v>
      </c>
      <c r="G175" s="63"/>
      <c r="H175" s="22" t="str">
        <f>IF(SUM(K106:K109)=0,"Por definir",IFERROR(INDEX(J106:J109,MATCH(2,P106:P109,0)),"Por definir"))</f>
        <v>Por definir</v>
      </c>
      <c r="I175" s="64"/>
    </row>
    <row r="176" spans="1:16" ht="18" customHeight="1" x14ac:dyDescent="0.2">
      <c r="A176" s="19">
        <v>12</v>
      </c>
      <c r="B176" s="20" t="s">
        <v>145</v>
      </c>
      <c r="C176" s="19"/>
      <c r="D176" s="21" t="str">
        <f>IF(SUM(K142:K145)=0,"Por definir",IFERROR(INDEX(J142:J145,MATCH(1,P142:P145,0)),"Por definir"))</f>
        <v>Por definir</v>
      </c>
      <c r="E176" s="63"/>
      <c r="F176" s="19" t="s">
        <v>7</v>
      </c>
      <c r="G176" s="63"/>
      <c r="H176" s="22" t="str">
        <f>IF(SUM(K130:K133)=0,"Por definir",IFERROR(INDEX(J130:J133,MATCH(2,P130:P133,0)),"Por definir"))</f>
        <v>Por definir</v>
      </c>
      <c r="I176" s="64"/>
    </row>
    <row r="177" spans="1:15" ht="18" customHeight="1" x14ac:dyDescent="0.2">
      <c r="A177" s="19">
        <v>13</v>
      </c>
      <c r="B177" s="20" t="s">
        <v>146</v>
      </c>
      <c r="C177" s="19"/>
      <c r="D177" s="21" t="str">
        <f>IF(LARGE(O150:O161,1)&lt;0,"Por definir",IFERROR(INDEX(J150:J161,MATCH(1,P150:P161,0)),"Por definir"))</f>
        <v>Por definir</v>
      </c>
      <c r="E177" s="63"/>
      <c r="F177" s="19" t="s">
        <v>7</v>
      </c>
      <c r="G177" s="63"/>
      <c r="H177" s="22" t="str">
        <f>IF(LARGE(O150:O161,2)&lt;0,"Por definir",IFERROR(INDEX(J150:J161,MATCH(2,P150:P161,0)),"Por definir"))</f>
        <v>Por definir</v>
      </c>
      <c r="I177" s="64"/>
    </row>
    <row r="178" spans="1:15" ht="18" customHeight="1" x14ac:dyDescent="0.2">
      <c r="A178" s="19">
        <v>14</v>
      </c>
      <c r="B178" s="20" t="s">
        <v>147</v>
      </c>
      <c r="C178" s="19"/>
      <c r="D178" s="21" t="str">
        <f>IF(LARGE(O150:O161,3)&lt;0,"Por definir",IFERROR(INDEX(J150:J161,MATCH(3,P150:P161,0)),"Por definir"))</f>
        <v>Por definir</v>
      </c>
      <c r="E178" s="63"/>
      <c r="F178" s="19" t="s">
        <v>7</v>
      </c>
      <c r="G178" s="63"/>
      <c r="H178" s="22" t="str">
        <f>IF(LARGE(O150:O161,4)&lt;0,"Por definir",IFERROR(INDEX(J150:J161,MATCH(4,P150:P161,0)),"Por definir"))</f>
        <v>Por definir</v>
      </c>
      <c r="I178" s="64"/>
    </row>
    <row r="179" spans="1:15" ht="18" customHeight="1" x14ac:dyDescent="0.2">
      <c r="A179" s="19">
        <v>15</v>
      </c>
      <c r="B179" s="20" t="s">
        <v>148</v>
      </c>
      <c r="C179" s="19"/>
      <c r="D179" s="21" t="str">
        <f>IF(LARGE(O150:O161,5)&lt;0,"Por definir",IFERROR(INDEX(J150:J161,MATCH(5,P150:P161,0)),"Por definir"))</f>
        <v>Por definir</v>
      </c>
      <c r="E179" s="63"/>
      <c r="F179" s="19" t="s">
        <v>7</v>
      </c>
      <c r="G179" s="63"/>
      <c r="H179" s="22" t="str">
        <f>IF(LARGE(O150:O161,6)&lt;0,"Por definir",IFERROR(INDEX(J150:J161,MATCH(6,P150:P161,0)),"Por definir"))</f>
        <v>Por definir</v>
      </c>
      <c r="I179" s="64"/>
    </row>
    <row r="180" spans="1:15" ht="18" customHeight="1" x14ac:dyDescent="0.2">
      <c r="A180" s="19">
        <v>16</v>
      </c>
      <c r="B180" s="20" t="s">
        <v>149</v>
      </c>
      <c r="C180" s="19"/>
      <c r="D180" s="21" t="str">
        <f>IF(LARGE(O150:O161,7)&lt;0,"Por definir",IFERROR(INDEX(J150:J161,MATCH(7,P150:P161,0)),"Por definir"))</f>
        <v>Por definir</v>
      </c>
      <c r="E180" s="63"/>
      <c r="F180" s="19" t="s">
        <v>7</v>
      </c>
      <c r="G180" s="63"/>
      <c r="H180" s="22" t="str">
        <f>IF(LARGE(O150:O161,8)&lt;0,"Por definir",IFERROR(INDEX(J150:J161,MATCH(8,P150:P161,0)),"Por definir"))</f>
        <v>Por definir</v>
      </c>
      <c r="I180" s="64"/>
    </row>
    <row r="182" spans="1:15" ht="24" customHeight="1" x14ac:dyDescent="0.2">
      <c r="A182" s="59" t="s">
        <v>150</v>
      </c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</row>
    <row r="183" spans="1:15" ht="18" customHeight="1" x14ac:dyDescent="0.2">
      <c r="A183" s="23">
        <v>1</v>
      </c>
      <c r="B183" s="24" t="s">
        <v>134</v>
      </c>
      <c r="C183" s="23"/>
      <c r="D183" s="25" t="str">
        <f>IFERROR(IF(AND(ISNUMBER(E165),ISNUMBER(G165)),IF(E165&gt;G165,D165,IF(G165&gt;E165,H165,IF(I165&lt;&gt;"",I165,"→ Pon ganador penaltis en col J"))),"Por definir"),"")</f>
        <v>Por definir</v>
      </c>
      <c r="E183" s="63"/>
      <c r="F183" s="23" t="s">
        <v>7</v>
      </c>
      <c r="G183" s="63"/>
      <c r="H183" s="26" t="str">
        <f>IFERROR(IF(AND(ISNUMBER(E166),ISNUMBER(G166)),IF(E166&gt;G166,D166,IF(G166&gt;E166,H166,IF(I166&lt;&gt;"",I166,"→ Pon ganador penaltis en col J"))),"Por definir"),"")</f>
        <v>Por definir</v>
      </c>
      <c r="I183" s="64"/>
    </row>
    <row r="184" spans="1:15" ht="18" customHeight="1" x14ac:dyDescent="0.2">
      <c r="A184" s="23">
        <v>2</v>
      </c>
      <c r="B184" s="24" t="s">
        <v>135</v>
      </c>
      <c r="C184" s="23"/>
      <c r="D184" s="25" t="str">
        <f>IFERROR(IF(AND(ISNUMBER(E167),ISNUMBER(G167)),IF(E167&gt;G167,D167,IF(G167&gt;E167,H167,IF(I167&lt;&gt;"",I167,"→ Pon ganador penaltis en col J"))),"Por definir"),"")</f>
        <v>Por definir</v>
      </c>
      <c r="E184" s="63"/>
      <c r="F184" s="23" t="s">
        <v>7</v>
      </c>
      <c r="G184" s="63"/>
      <c r="H184" s="26" t="str">
        <f>IFERROR(IF(AND(ISNUMBER(E168),ISNUMBER(G168)),IF(E168&gt;G168,D168,IF(G168&gt;E168,H168,IF(I168&lt;&gt;"",I168,"→ Pon ganador penaltis en col J"))),"Por definir"),"")</f>
        <v>Por definir</v>
      </c>
      <c r="I184" s="64"/>
    </row>
    <row r="185" spans="1:15" ht="18" customHeight="1" x14ac:dyDescent="0.2">
      <c r="A185" s="23">
        <v>3</v>
      </c>
      <c r="B185" s="24" t="s">
        <v>136</v>
      </c>
      <c r="C185" s="23"/>
      <c r="D185" s="25" t="str">
        <f>IFERROR(IF(AND(ISNUMBER(E169),ISNUMBER(G169)),IF(E169&gt;G169,D169,IF(G169&gt;E169,H169,IF(I169&lt;&gt;"",I169,"→ Pon ganador penaltis en col J"))),"Por definir"),"")</f>
        <v>Por definir</v>
      </c>
      <c r="E185" s="63"/>
      <c r="F185" s="23" t="s">
        <v>7</v>
      </c>
      <c r="G185" s="63"/>
      <c r="H185" s="26" t="str">
        <f>IFERROR(IF(AND(ISNUMBER(E170),ISNUMBER(G170)),IF(E170&gt;G170,D170,IF(G170&gt;E170,H170,IF(I170&lt;&gt;"",I170,"→ Pon ganador penaltis en col J"))),"Por definir"),"")</f>
        <v>Por definir</v>
      </c>
      <c r="I185" s="64"/>
    </row>
    <row r="186" spans="1:15" ht="18" customHeight="1" x14ac:dyDescent="0.2">
      <c r="A186" s="23">
        <v>4</v>
      </c>
      <c r="B186" s="24" t="s">
        <v>137</v>
      </c>
      <c r="C186" s="23"/>
      <c r="D186" s="25" t="str">
        <f>IFERROR(IF(AND(ISNUMBER(E171),ISNUMBER(G171)),IF(E171&gt;G171,D171,IF(G171&gt;E171,H171,IF(I171&lt;&gt;"",I171,"→ Pon ganador penaltis en col J"))),"Por definir"),"")</f>
        <v>Por definir</v>
      </c>
      <c r="E186" s="63"/>
      <c r="F186" s="23" t="s">
        <v>7</v>
      </c>
      <c r="G186" s="63"/>
      <c r="H186" s="26" t="str">
        <f>IFERROR(IF(AND(ISNUMBER(E172),ISNUMBER(G172)),IF(E172&gt;G172,D172,IF(G172&gt;E172,H172,IF(I172&lt;&gt;"",I172,"→ Pon ganador penaltis en col J"))),"Por definir"),"")</f>
        <v>Por definir</v>
      </c>
      <c r="I186" s="64"/>
    </row>
    <row r="187" spans="1:15" ht="18" customHeight="1" x14ac:dyDescent="0.2">
      <c r="A187" s="23">
        <v>5</v>
      </c>
      <c r="B187" s="24" t="s">
        <v>138</v>
      </c>
      <c r="C187" s="23"/>
      <c r="D187" s="25" t="str">
        <f>IFERROR(IF(AND(ISNUMBER(E173),ISNUMBER(G173)),IF(E173&gt;G173,D173,IF(G173&gt;E173,H173,IF(I173&lt;&gt;"",I173,"→ Pon ganador penaltis en col J"))),"Por definir"),"")</f>
        <v>Por definir</v>
      </c>
      <c r="E187" s="63"/>
      <c r="F187" s="23" t="s">
        <v>7</v>
      </c>
      <c r="G187" s="63"/>
      <c r="H187" s="26" t="str">
        <f>IFERROR(IF(AND(ISNUMBER(E174),ISNUMBER(G174)),IF(E174&gt;G174,D174,IF(G174&gt;E174,H174,IF(I174&lt;&gt;"",I174,"→ Pon ganador penaltis en col J"))),"Por definir"),"")</f>
        <v>Por definir</v>
      </c>
      <c r="I187" s="64"/>
    </row>
    <row r="188" spans="1:15" ht="18" customHeight="1" x14ac:dyDescent="0.2">
      <c r="A188" s="23">
        <v>6</v>
      </c>
      <c r="B188" s="24" t="s">
        <v>139</v>
      </c>
      <c r="C188" s="23"/>
      <c r="D188" s="25" t="str">
        <f>IFERROR(IF(AND(ISNUMBER(E175),ISNUMBER(G175)),IF(E175&gt;G175,D175,IF(G175&gt;E175,H175,IF(I175&lt;&gt;"",I175,"→ Pon ganador penaltis en col J"))),"Por definir"),"")</f>
        <v>Por definir</v>
      </c>
      <c r="E188" s="63"/>
      <c r="F188" s="23" t="s">
        <v>7</v>
      </c>
      <c r="G188" s="63"/>
      <c r="H188" s="26" t="str">
        <f>IFERROR(IF(AND(ISNUMBER(E176),ISNUMBER(G176)),IF(E176&gt;G176,D176,IF(G176&gt;E176,H176,IF(I176&lt;&gt;"",I176,"→ Pon ganador penaltis en col J"))),"Por definir"),"")</f>
        <v>Por definir</v>
      </c>
      <c r="I188" s="64"/>
    </row>
    <row r="189" spans="1:15" ht="18" customHeight="1" x14ac:dyDescent="0.2">
      <c r="A189" s="23">
        <v>7</v>
      </c>
      <c r="B189" s="24" t="s">
        <v>140</v>
      </c>
      <c r="C189" s="23"/>
      <c r="D189" s="25" t="str">
        <f>IFERROR(IF(AND(ISNUMBER(E177),ISNUMBER(G177)),IF(E177&gt;G177,D177,IF(G177&gt;E177,H177,IF(I177&lt;&gt;"",I177,"→ Pon ganador penaltis en col J"))),"Por definir"),"")</f>
        <v>Por definir</v>
      </c>
      <c r="E189" s="63"/>
      <c r="F189" s="23" t="s">
        <v>7</v>
      </c>
      <c r="G189" s="63"/>
      <c r="H189" s="26" t="str">
        <f>IFERROR(IF(AND(ISNUMBER(E178),ISNUMBER(G178)),IF(E178&gt;G178,D178,IF(G178&gt;E178,H178,IF(I178&lt;&gt;"",I178,"→ Pon ganador penaltis en col J"))),"Por definir"),"")</f>
        <v>Por definir</v>
      </c>
      <c r="I189" s="64"/>
    </row>
    <row r="190" spans="1:15" ht="18" customHeight="1" x14ac:dyDescent="0.2">
      <c r="A190" s="23">
        <v>8</v>
      </c>
      <c r="B190" s="24" t="s">
        <v>141</v>
      </c>
      <c r="C190" s="23"/>
      <c r="D190" s="25" t="str">
        <f>IFERROR(IF(AND(ISNUMBER(E179),ISNUMBER(G179)),IF(E179&gt;G179,D179,IF(G179&gt;E179,H179,IF(I179&lt;&gt;"",I179,"→ Pon ganador penaltis en col J"))),"Por definir"),"")</f>
        <v>Por definir</v>
      </c>
      <c r="E190" s="63"/>
      <c r="F190" s="23" t="s">
        <v>7</v>
      </c>
      <c r="G190" s="63"/>
      <c r="H190" s="26" t="str">
        <f>IFERROR(IF(AND(ISNUMBER(E180),ISNUMBER(G180)),IF(E180&gt;G180,D180,IF(G180&gt;E180,H180,IF(I180&lt;&gt;"",I180,"→ Pon ganador penaltis en col J"))),"Por definir"),"")</f>
        <v>Por definir</v>
      </c>
      <c r="I190" s="64"/>
    </row>
    <row r="192" spans="1:15" ht="24" customHeight="1" x14ac:dyDescent="0.2">
      <c r="A192" s="50" t="s">
        <v>151</v>
      </c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</row>
    <row r="193" spans="1:15" ht="18" customHeight="1" x14ac:dyDescent="0.2">
      <c r="A193" s="27">
        <v>1</v>
      </c>
      <c r="B193" s="28" t="s">
        <v>134</v>
      </c>
      <c r="C193" s="27"/>
      <c r="D193" s="29" t="str">
        <f>IFERROR(IF(AND(ISNUMBER(E183),ISNUMBER(G183)),IF(E183&gt;G183,D183,IF(G183&gt;E183,H183,IF(I183&lt;&gt;"",I183,"→ Pon ganador penaltis en col J"))),"Por definir"),"")</f>
        <v>Por definir</v>
      </c>
      <c r="E193" s="63"/>
      <c r="F193" s="27" t="s">
        <v>7</v>
      </c>
      <c r="G193" s="63"/>
      <c r="H193" s="30" t="str">
        <f>IFERROR(IF(AND(ISNUMBER(E184),ISNUMBER(G184)),IF(E184&gt;G184,D184,IF(G184&gt;E184,H184,IF(I184&lt;&gt;"",I184,"→ Pon ganador penaltis en col J"))),"Por definir"),"")</f>
        <v>Por definir</v>
      </c>
      <c r="I193" s="64"/>
    </row>
    <row r="194" spans="1:15" ht="18" customHeight="1" x14ac:dyDescent="0.2">
      <c r="A194" s="27">
        <v>2</v>
      </c>
      <c r="B194" s="28" t="s">
        <v>135</v>
      </c>
      <c r="C194" s="27"/>
      <c r="D194" s="29" t="str">
        <f>IFERROR(IF(AND(ISNUMBER(E185),ISNUMBER(G185)),IF(E185&gt;G185,D185,IF(G185&gt;E185,H185,IF(I185&lt;&gt;"",I185,"→ Pon ganador penaltis en col J"))),"Por definir"),"")</f>
        <v>Por definir</v>
      </c>
      <c r="E194" s="63"/>
      <c r="F194" s="27" t="s">
        <v>7</v>
      </c>
      <c r="G194" s="63"/>
      <c r="H194" s="30" t="str">
        <f>IFERROR(IF(AND(ISNUMBER(E186),ISNUMBER(G186)),IF(E186&gt;G186,D186,IF(G186&gt;E186,H186,IF(I186&lt;&gt;"",I186,"→ Pon ganador penaltis en col J"))),"Por definir"),"")</f>
        <v>Por definir</v>
      </c>
      <c r="I194" s="64"/>
    </row>
    <row r="195" spans="1:15" ht="18" customHeight="1" x14ac:dyDescent="0.2">
      <c r="A195" s="27">
        <v>3</v>
      </c>
      <c r="B195" s="28" t="s">
        <v>136</v>
      </c>
      <c r="C195" s="27"/>
      <c r="D195" s="29" t="str">
        <f>IFERROR(IF(AND(ISNUMBER(E187),ISNUMBER(G187)),IF(E187&gt;G187,D187,IF(G187&gt;E187,H187,IF(I187&lt;&gt;"",I187,"→ Pon ganador penaltis en col J"))),"Por definir"),"")</f>
        <v>Por definir</v>
      </c>
      <c r="E195" s="63"/>
      <c r="F195" s="27" t="s">
        <v>7</v>
      </c>
      <c r="G195" s="63"/>
      <c r="H195" s="30" t="str">
        <f>IFERROR(IF(AND(ISNUMBER(E188),ISNUMBER(G188)),IF(E188&gt;G188,D188,IF(G188&gt;E188,H188,IF(I188&lt;&gt;"",I188,"→ Pon ganador penaltis en col J"))),"Por definir"),"")</f>
        <v>Por definir</v>
      </c>
      <c r="I195" s="64"/>
    </row>
    <row r="196" spans="1:15" ht="18" customHeight="1" x14ac:dyDescent="0.2">
      <c r="A196" s="27">
        <v>4</v>
      </c>
      <c r="B196" s="28" t="s">
        <v>137</v>
      </c>
      <c r="C196" s="27"/>
      <c r="D196" s="29" t="str">
        <f>IFERROR(IF(AND(ISNUMBER(E189),ISNUMBER(G189)),IF(E189&gt;G189,D189,IF(G189&gt;E189,H189,IF(I189&lt;&gt;"",I189,"→ Pon ganador penaltis en col J"))),"Por definir"),"")</f>
        <v>Por definir</v>
      </c>
      <c r="E196" s="63"/>
      <c r="F196" s="27" t="s">
        <v>7</v>
      </c>
      <c r="G196" s="63"/>
      <c r="H196" s="30" t="str">
        <f>IFERROR(IF(AND(ISNUMBER(E190),ISNUMBER(G190)),IF(E190&gt;G190,D190,IF(G190&gt;E190,H190,IF(I190&lt;&gt;"",I190,"→ Pon ganador penaltis en col J"))),"Por definir"),"")</f>
        <v>Por definir</v>
      </c>
      <c r="I196" s="64"/>
    </row>
    <row r="198" spans="1:15" ht="24" customHeight="1" x14ac:dyDescent="0.2">
      <c r="A198" s="51" t="s">
        <v>152</v>
      </c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</row>
    <row r="199" spans="1:15" ht="18" customHeight="1" x14ac:dyDescent="0.2">
      <c r="A199" s="31">
        <v>1</v>
      </c>
      <c r="B199" s="32"/>
      <c r="C199" s="31"/>
      <c r="D199" s="33" t="str">
        <f>IFERROR(IF(AND(ISNUMBER(E193),ISNUMBER(G193)),IF(E193&gt;G193,D193,IF(G193&gt;E193,H193,IF(I193&lt;&gt;"",I193,"→ Pon ganador penaltis en col J"))),"Por definir"),"")</f>
        <v>Por definir</v>
      </c>
      <c r="E199" s="63"/>
      <c r="F199" s="31" t="s">
        <v>7</v>
      </c>
      <c r="G199" s="63"/>
      <c r="H199" s="34" t="str">
        <f>IFERROR(IF(AND(ISNUMBER(E194),ISNUMBER(G194)),IF(E194&gt;G194,D194,IF(G194&gt;E194,H194,IF(I194&lt;&gt;"",I194,"→ Pon ganador penaltis en col J"))),"Por definir"),"")</f>
        <v>Por definir</v>
      </c>
      <c r="I199" s="64"/>
    </row>
    <row r="200" spans="1:15" ht="18" customHeight="1" x14ac:dyDescent="0.2">
      <c r="A200" s="31">
        <v>2</v>
      </c>
      <c r="B200" s="32"/>
      <c r="C200" s="31"/>
      <c r="D200" s="33" t="str">
        <f>IFERROR(IF(AND(ISNUMBER(E195),ISNUMBER(G195)),IF(E195&gt;G195,D195,IF(G195&gt;E195,H195,IF(I195&lt;&gt;"",I195,"→ Pon ganador penaltis en col J"))),"Por definir"),"")</f>
        <v>Por definir</v>
      </c>
      <c r="E200" s="63"/>
      <c r="F200" s="31" t="s">
        <v>7</v>
      </c>
      <c r="G200" s="63"/>
      <c r="H200" s="34" t="str">
        <f>IFERROR(IF(AND(ISNUMBER(E196),ISNUMBER(G196)),IF(E196&gt;G196,D196,IF(G196&gt;E196,H196,IF(I196&lt;&gt;"",I196,"→ Pon ganador penaltis en col J"))),"Por definir"),"")</f>
        <v>Por definir</v>
      </c>
      <c r="I200" s="64"/>
    </row>
    <row r="202" spans="1:15" ht="24" customHeight="1" x14ac:dyDescent="0.2">
      <c r="A202" s="61" t="s">
        <v>153</v>
      </c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</row>
    <row r="203" spans="1:15" ht="18" customHeight="1" x14ac:dyDescent="0.2">
      <c r="A203" s="35">
        <v>1</v>
      </c>
      <c r="B203" s="36"/>
      <c r="C203" s="35"/>
      <c r="D203" s="37" t="str">
        <f>IFERROR(IF(AND(ISNUMBER(E199),ISNUMBER(G199)),IF(E199&gt;G199,H199,IF(G199&gt;E199,D199,IF(I199=D199,H199,IF(I199=H199,D199,"Por definir")))),"Por definir"),"")</f>
        <v>Por definir</v>
      </c>
      <c r="E203" s="63"/>
      <c r="F203" s="35" t="s">
        <v>7</v>
      </c>
      <c r="G203" s="63"/>
      <c r="H203" s="38" t="str">
        <f>IFERROR(IF(AND(ISNUMBER(E200),ISNUMBER(G200)),IF(E200&gt;G200,H200,IF(G200&gt;E200,D200,IF(I200=D200,H200,IF(I200=H200,D200,"Por definir")))),"Por definir"),"")</f>
        <v>Por definir</v>
      </c>
      <c r="I203" s="64"/>
    </row>
    <row r="205" spans="1:15" ht="24" customHeight="1" x14ac:dyDescent="0.2">
      <c r="A205" s="55" t="s">
        <v>154</v>
      </c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</row>
    <row r="206" spans="1:15" ht="18" customHeight="1" x14ac:dyDescent="0.2">
      <c r="A206" s="39">
        <v>1</v>
      </c>
      <c r="B206" s="40"/>
      <c r="C206" s="39"/>
      <c r="D206" s="41" t="str">
        <f>IFERROR(IF(AND(ISNUMBER(E199),ISNUMBER(G199)),IF(E199&gt;G199,D199,IF(G199&gt;E199,H199,IF(I199&lt;&gt;"",I199,"→ Pon ganador penaltis en col J"))),"Por definir"),"")</f>
        <v>Por definir</v>
      </c>
      <c r="E206" s="63"/>
      <c r="F206" s="39" t="s">
        <v>7</v>
      </c>
      <c r="G206" s="63"/>
      <c r="H206" s="42" t="str">
        <f>IFERROR(IF(AND(ISNUMBER(E200),ISNUMBER(G200)),IF(E200&gt;G200,D200,IF(G200&gt;E200,H200,IF(I200&lt;&gt;"",I200,"→ Pon ganador penaltis en col J"))),"Por definir"),"")</f>
        <v>Por definir</v>
      </c>
      <c r="I206" s="64"/>
    </row>
    <row r="209" spans="1:9" ht="16" customHeight="1" x14ac:dyDescent="0.2">
      <c r="A209" s="62" t="s">
        <v>155</v>
      </c>
      <c r="B209" s="47"/>
      <c r="C209" s="47"/>
      <c r="D209" s="47"/>
      <c r="E209" s="47"/>
      <c r="F209" s="47"/>
      <c r="G209" s="47"/>
      <c r="H209" s="47"/>
      <c r="I209" s="47"/>
    </row>
    <row r="211" spans="1:9" ht="20" customHeight="1" x14ac:dyDescent="0.2">
      <c r="A211" s="60" t="s">
        <v>156</v>
      </c>
      <c r="B211" s="47"/>
      <c r="C211" s="47"/>
      <c r="D211" s="47"/>
      <c r="E211" s="47"/>
      <c r="F211" s="47"/>
      <c r="G211" s="47"/>
      <c r="H211" s="47"/>
    </row>
    <row r="212" spans="1:9" ht="17" customHeight="1" x14ac:dyDescent="0.2">
      <c r="A212" s="52" t="s">
        <v>157</v>
      </c>
      <c r="B212" s="47"/>
      <c r="C212" s="47"/>
      <c r="D212" s="47"/>
      <c r="E212" s="47"/>
      <c r="F212" s="47"/>
      <c r="G212" s="47"/>
      <c r="H212" s="44" t="s">
        <v>158</v>
      </c>
    </row>
    <row r="213" spans="1:9" ht="17" customHeight="1" x14ac:dyDescent="0.2">
      <c r="A213" s="53" t="s">
        <v>159</v>
      </c>
      <c r="B213" s="47"/>
      <c r="C213" s="47"/>
      <c r="D213" s="47"/>
      <c r="E213" s="47"/>
      <c r="F213" s="47"/>
      <c r="G213" s="47"/>
      <c r="H213" s="43" t="s">
        <v>160</v>
      </c>
    </row>
    <row r="214" spans="1:9" ht="17" customHeight="1" x14ac:dyDescent="0.2">
      <c r="A214" s="52" t="s">
        <v>161</v>
      </c>
      <c r="B214" s="47"/>
      <c r="C214" s="47"/>
      <c r="D214" s="47"/>
      <c r="E214" s="47"/>
      <c r="F214" s="47"/>
      <c r="G214" s="47"/>
      <c r="H214" s="44" t="s">
        <v>162</v>
      </c>
    </row>
    <row r="215" spans="1:9" ht="17" customHeight="1" x14ac:dyDescent="0.2">
      <c r="A215" s="53" t="s">
        <v>163</v>
      </c>
      <c r="B215" s="47"/>
      <c r="C215" s="47"/>
      <c r="D215" s="47"/>
      <c r="E215" s="47"/>
      <c r="F215" s="47"/>
      <c r="G215" s="47"/>
      <c r="H215" s="43" t="s">
        <v>164</v>
      </c>
    </row>
    <row r="216" spans="1:9" ht="17" customHeight="1" x14ac:dyDescent="0.2">
      <c r="A216" s="52" t="s">
        <v>165</v>
      </c>
      <c r="B216" s="47"/>
      <c r="C216" s="47"/>
      <c r="D216" s="47"/>
      <c r="E216" s="47"/>
      <c r="F216" s="47"/>
      <c r="G216" s="47"/>
      <c r="H216" s="44" t="s">
        <v>166</v>
      </c>
    </row>
    <row r="217" spans="1:9" ht="17" customHeight="1" x14ac:dyDescent="0.2">
      <c r="A217" s="53"/>
      <c r="B217" s="47"/>
      <c r="C217" s="47"/>
      <c r="D217" s="47"/>
      <c r="E217" s="47"/>
      <c r="F217" s="47"/>
      <c r="G217" s="47"/>
      <c r="H217" s="45"/>
    </row>
    <row r="218" spans="1:9" ht="17" customHeight="1" x14ac:dyDescent="0.2">
      <c r="A218" s="52" t="s">
        <v>167</v>
      </c>
      <c r="B218" s="47"/>
      <c r="C218" s="47"/>
      <c r="D218" s="47"/>
      <c r="E218" s="47"/>
      <c r="F218" s="47"/>
      <c r="G218" s="47"/>
      <c r="H218" s="44" t="s">
        <v>168</v>
      </c>
    </row>
    <row r="219" spans="1:9" ht="17" customHeight="1" x14ac:dyDescent="0.2">
      <c r="A219" s="53" t="s">
        <v>169</v>
      </c>
      <c r="B219" s="47"/>
      <c r="C219" s="47"/>
      <c r="D219" s="47"/>
      <c r="E219" s="47"/>
      <c r="F219" s="47"/>
      <c r="G219" s="47"/>
      <c r="H219" s="43" t="s">
        <v>170</v>
      </c>
    </row>
    <row r="220" spans="1:9" ht="17" customHeight="1" x14ac:dyDescent="0.2">
      <c r="A220" s="52" t="s">
        <v>171</v>
      </c>
      <c r="B220" s="47"/>
      <c r="C220" s="47"/>
      <c r="D220" s="47"/>
      <c r="E220" s="47"/>
      <c r="F220" s="47"/>
      <c r="G220" s="47"/>
      <c r="H220" s="44" t="s">
        <v>172</v>
      </c>
    </row>
    <row r="221" spans="1:9" ht="17" customHeight="1" x14ac:dyDescent="0.2">
      <c r="A221" s="53" t="s">
        <v>173</v>
      </c>
      <c r="B221" s="47"/>
      <c r="C221" s="47"/>
      <c r="D221" s="47"/>
      <c r="E221" s="47"/>
      <c r="F221" s="47"/>
      <c r="G221" s="47"/>
      <c r="H221" s="43" t="s">
        <v>174</v>
      </c>
    </row>
    <row r="222" spans="1:9" ht="17" customHeight="1" x14ac:dyDescent="0.2">
      <c r="A222" s="52" t="s">
        <v>175</v>
      </c>
      <c r="B222" s="47"/>
      <c r="C222" s="47"/>
      <c r="D222" s="47"/>
      <c r="E222" s="47"/>
      <c r="F222" s="47"/>
      <c r="G222" s="47"/>
      <c r="H222" s="44" t="s">
        <v>176</v>
      </c>
    </row>
    <row r="223" spans="1:9" ht="17" customHeight="1" x14ac:dyDescent="0.2">
      <c r="A223" s="53" t="s">
        <v>177</v>
      </c>
      <c r="B223" s="47"/>
      <c r="C223" s="47"/>
      <c r="D223" s="47"/>
      <c r="E223" s="47"/>
      <c r="F223" s="47"/>
      <c r="G223" s="47"/>
      <c r="H223" s="43" t="s">
        <v>178</v>
      </c>
    </row>
  </sheetData>
  <sheetProtection sheet="1" objects="1" scenarios="1"/>
  <mergeCells count="48">
    <mergeCell ref="A111:I111"/>
    <mergeCell ref="J27:O27"/>
    <mergeCell ref="A202:O202"/>
    <mergeCell ref="A39:I39"/>
    <mergeCell ref="A223:G223"/>
    <mergeCell ref="J111:O111"/>
    <mergeCell ref="A209:I209"/>
    <mergeCell ref="A220:G220"/>
    <mergeCell ref="J63:O63"/>
    <mergeCell ref="A219:G219"/>
    <mergeCell ref="A222:G222"/>
    <mergeCell ref="A216:G216"/>
    <mergeCell ref="A51:I51"/>
    <mergeCell ref="A182:O182"/>
    <mergeCell ref="A123:I123"/>
    <mergeCell ref="A211:H211"/>
    <mergeCell ref="A87:I87"/>
    <mergeCell ref="A214:G214"/>
    <mergeCell ref="A213:G213"/>
    <mergeCell ref="A135:I135"/>
    <mergeCell ref="J99:O99"/>
    <mergeCell ref="A215:G215"/>
    <mergeCell ref="A218:G218"/>
    <mergeCell ref="A221:G221"/>
    <mergeCell ref="J87:O87"/>
    <mergeCell ref="J1:M1"/>
    <mergeCell ref="A205:O205"/>
    <mergeCell ref="A212:G212"/>
    <mergeCell ref="J148:N148"/>
    <mergeCell ref="A99:I99"/>
    <mergeCell ref="J15:O15"/>
    <mergeCell ref="A75:I75"/>
    <mergeCell ref="A164:O164"/>
    <mergeCell ref="A217:G217"/>
    <mergeCell ref="A27:I27"/>
    <mergeCell ref="A15:I15"/>
    <mergeCell ref="A3:I3"/>
    <mergeCell ref="J123:O123"/>
    <mergeCell ref="A1:H1"/>
    <mergeCell ref="A192:O192"/>
    <mergeCell ref="A198:O198"/>
    <mergeCell ref="J51:O51"/>
    <mergeCell ref="J135:O135"/>
    <mergeCell ref="J3:O3"/>
    <mergeCell ref="A148:I148"/>
    <mergeCell ref="J39:O39"/>
    <mergeCell ref="J75:O75"/>
    <mergeCell ref="A63:I63"/>
  </mergeCells>
  <conditionalFormatting sqref="J10:N13">
    <cfRule type="expression" dxfId="36" priority="1">
      <formula>AND($P10&lt;=2,SUM($K$10:$K$13)&gt;0)</formula>
    </cfRule>
    <cfRule type="expression" dxfId="35" priority="2">
      <formula>AND($P10=3,SUM($K$10:$K$13)&gt;0)</formula>
    </cfRule>
    <cfRule type="expression" dxfId="34" priority="3">
      <formula>AND($P10=4,SUM($K$10:$K$13)&gt;0)</formula>
    </cfRule>
  </conditionalFormatting>
  <conditionalFormatting sqref="J22:N25">
    <cfRule type="expression" dxfId="33" priority="4">
      <formula>AND($P22&lt;=2,SUM($K$22:$K$25)&gt;0)</formula>
    </cfRule>
    <cfRule type="expression" dxfId="32" priority="5">
      <formula>AND($P22=3,SUM($K$22:$K$25)&gt;0)</formula>
    </cfRule>
    <cfRule type="expression" dxfId="31" priority="6">
      <formula>AND($P22=4,SUM($K$22:$K$25)&gt;0)</formula>
    </cfRule>
  </conditionalFormatting>
  <conditionalFormatting sqref="J34:N37">
    <cfRule type="expression" dxfId="30" priority="7">
      <formula>AND($P34&lt;=2,SUM($K$34:$K$37)&gt;0)</formula>
    </cfRule>
    <cfRule type="expression" dxfId="29" priority="8">
      <formula>AND($P34=3,SUM($K$34:$K$37)&gt;0)</formula>
    </cfRule>
    <cfRule type="expression" dxfId="28" priority="9">
      <formula>AND($P34=4,SUM($K$34:$K$37)&gt;0)</formula>
    </cfRule>
  </conditionalFormatting>
  <conditionalFormatting sqref="J46:N49">
    <cfRule type="expression" dxfId="27" priority="10">
      <formula>AND($P46&lt;=2,SUM($K$46:$K$49)&gt;0)</formula>
    </cfRule>
    <cfRule type="expression" dxfId="26" priority="11">
      <formula>AND($P46=3,SUM($K$46:$K$49)&gt;0)</formula>
    </cfRule>
    <cfRule type="expression" dxfId="25" priority="12">
      <formula>AND($P46=4,SUM($K$46:$K$49)&gt;0)</formula>
    </cfRule>
  </conditionalFormatting>
  <conditionalFormatting sqref="J58:N61">
    <cfRule type="expression" dxfId="24" priority="13">
      <formula>AND($P58&lt;=2,SUM($K$58:$K$61)&gt;0)</formula>
    </cfRule>
    <cfRule type="expression" dxfId="23" priority="14">
      <formula>AND($P58=3,SUM($K$58:$K$61)&gt;0)</formula>
    </cfRule>
    <cfRule type="expression" dxfId="22" priority="15">
      <formula>AND($P58=4,SUM($K$58:$K$61)&gt;0)</formula>
    </cfRule>
  </conditionalFormatting>
  <conditionalFormatting sqref="J70:N73">
    <cfRule type="expression" dxfId="21" priority="16">
      <formula>AND($P70&lt;=2,SUM($K$70:$K$73)&gt;0)</formula>
    </cfRule>
    <cfRule type="expression" dxfId="20" priority="17">
      <formula>AND($P70=3,SUM($K$70:$K$73)&gt;0)</formula>
    </cfRule>
    <cfRule type="expression" dxfId="19" priority="18">
      <formula>AND($P70=4,SUM($K$70:$K$73)&gt;0)</formula>
    </cfRule>
  </conditionalFormatting>
  <conditionalFormatting sqref="J82:N85">
    <cfRule type="expression" dxfId="18" priority="19">
      <formula>AND($P82&lt;=2,SUM($K$82:$K$85)&gt;0)</formula>
    </cfRule>
    <cfRule type="expression" dxfId="17" priority="20">
      <formula>AND($P82=3,SUM($K$82:$K$85)&gt;0)</formula>
    </cfRule>
    <cfRule type="expression" dxfId="16" priority="21">
      <formula>AND($P82=4,SUM($K$82:$K$85)&gt;0)</formula>
    </cfRule>
  </conditionalFormatting>
  <conditionalFormatting sqref="J94:N97">
    <cfRule type="expression" dxfId="15" priority="22">
      <formula>AND($P94&lt;=2,SUM($K$94:$K$97)&gt;0)</formula>
    </cfRule>
    <cfRule type="expression" dxfId="14" priority="23">
      <formula>AND($P94=3,SUM($K$94:$K$97)&gt;0)</formula>
    </cfRule>
    <cfRule type="expression" dxfId="13" priority="24">
      <formula>AND($P94=4,SUM($K$94:$K$97)&gt;0)</formula>
    </cfRule>
  </conditionalFormatting>
  <conditionalFormatting sqref="J106:N109">
    <cfRule type="expression" dxfId="12" priority="25">
      <formula>AND($P106&lt;=2,SUM($K$106:$K$109)&gt;0)</formula>
    </cfRule>
    <cfRule type="expression" dxfId="11" priority="26">
      <formula>AND($P106=3,SUM($K$106:$K$109)&gt;0)</formula>
    </cfRule>
    <cfRule type="expression" dxfId="10" priority="27">
      <formula>AND($P106=4,SUM($K$106:$K$109)&gt;0)</formula>
    </cfRule>
  </conditionalFormatting>
  <conditionalFormatting sqref="J118:N121">
    <cfRule type="expression" dxfId="9" priority="28">
      <formula>AND($P118&lt;=2,SUM($K$118:$K$121)&gt;0)</formula>
    </cfRule>
    <cfRule type="expression" dxfId="8" priority="29">
      <formula>AND($P118=3,SUM($K$118:$K$121)&gt;0)</formula>
    </cfRule>
    <cfRule type="expression" dxfId="7" priority="30">
      <formula>AND($P118=4,SUM($K$118:$K$121)&gt;0)</formula>
    </cfRule>
  </conditionalFormatting>
  <conditionalFormatting sqref="J130:N133">
    <cfRule type="expression" dxfId="6" priority="31">
      <formula>AND($P130&lt;=2,SUM($K$130:$K$133)&gt;0)</formula>
    </cfRule>
    <cfRule type="expression" dxfId="5" priority="32">
      <formula>AND($P130=3,SUM($K$130:$K$133)&gt;0)</formula>
    </cfRule>
    <cfRule type="expression" dxfId="4" priority="33">
      <formula>AND($P130=4,SUM($K$130:$K$133)&gt;0)</formula>
    </cfRule>
  </conditionalFormatting>
  <conditionalFormatting sqref="J142:N145">
    <cfRule type="expression" dxfId="3" priority="34">
      <formula>AND($P142&lt;=2,SUM($K$142:$K$145)&gt;0)</formula>
    </cfRule>
    <cfRule type="expression" dxfId="2" priority="35">
      <formula>AND($P142=3,SUM($K$142:$K$145)&gt;0)</formula>
    </cfRule>
    <cfRule type="expression" dxfId="1" priority="36">
      <formula>AND($P142=4,SUM($K$142:$K$145)&gt;0)</formula>
    </cfRule>
  </conditionalFormatting>
  <conditionalFormatting sqref="J150:N161">
    <cfRule type="expression" dxfId="0" priority="37">
      <formula>AND($P150&lt;=8,$O150&gt;-99000)</formula>
    </cfRule>
  </conditionalFormatting>
  <dataValidations count="1">
    <dataValidation type="whole" allowBlank="1" showInputMessage="1" showErrorMessage="1" errorTitle="Valor no válido" error="Solo se permiten números enteros (0-99)." promptTitle="Marcador" prompt="Ingresa un número entero (0-99)" sqref="G206 E206 G203 E203 G199:G200 E199:E200 G193:G196 E193:E196 G183:G190 E183:E190 G165:G180 E165:E180 G136:G141 E136:E141 G124:G129 E124:E129 G112:G117 E112:E117 G100:G105 E100:E105 G88:G93 E88:E93 G76:G81 E76:E81 G64:G69 E64:E69 G52:G57 E52:E57 G40:G45 E40:E45 G28:G33 E28:E33 G16:G21 E16:E21 E4:E9 G4:G9" xr:uid="{0B726EC5-F535-E84D-85A3-6C65D95B726A}">
      <formula1>0</formula1>
      <formula2>99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Martinez Fonseca</cp:lastModifiedBy>
  <dcterms:created xsi:type="dcterms:W3CDTF">2026-04-09T01:24:17Z</dcterms:created>
  <dcterms:modified xsi:type="dcterms:W3CDTF">2026-04-09T04:52:56Z</dcterms:modified>
</cp:coreProperties>
</file>