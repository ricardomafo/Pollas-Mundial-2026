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ricardomfon/mundial-2026/bancoldex/"/>
    </mc:Choice>
  </mc:AlternateContent>
  <xr:revisionPtr revIDLastSave="0" documentId="13_ncr:1_{4F7CF553-F21F-F64F-9B0A-65498A1C0953}" xr6:coauthVersionLast="47" xr6:coauthVersionMax="47" xr10:uidLastSave="{00000000-0000-0000-0000-000000000000}"/>
  <bookViews>
    <workbookView xWindow="0" yWindow="640" windowWidth="29400" windowHeight="16980" xr2:uid="{00000000-000D-0000-FFFF-FFFF00000000}"/>
  </bookViews>
  <sheets>
    <sheet name="Predic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6" i="1" l="1"/>
  <c r="D206" i="1"/>
  <c r="H203" i="1"/>
  <c r="D203" i="1"/>
  <c r="H200" i="1"/>
  <c r="D200" i="1"/>
  <c r="H199" i="1"/>
  <c r="D199" i="1"/>
  <c r="H196" i="1"/>
  <c r="D196" i="1"/>
  <c r="H195" i="1"/>
  <c r="D195" i="1"/>
  <c r="H194" i="1"/>
  <c r="D194" i="1"/>
  <c r="H193" i="1"/>
  <c r="D193" i="1"/>
  <c r="H190" i="1"/>
  <c r="D190" i="1"/>
  <c r="H189" i="1"/>
  <c r="D189" i="1"/>
  <c r="H188" i="1"/>
  <c r="D188" i="1"/>
  <c r="H187" i="1"/>
  <c r="D187" i="1"/>
  <c r="H186" i="1"/>
  <c r="D186" i="1"/>
  <c r="H185" i="1"/>
  <c r="D185" i="1"/>
  <c r="H184" i="1"/>
  <c r="D184" i="1"/>
  <c r="H183" i="1"/>
  <c r="D183" i="1"/>
  <c r="H176" i="1"/>
  <c r="H173" i="1"/>
  <c r="H172" i="1"/>
  <c r="K161" i="1"/>
  <c r="P160" i="1"/>
  <c r="O159" i="1"/>
  <c r="P158" i="1"/>
  <c r="N158" i="1"/>
  <c r="N156" i="1"/>
  <c r="L156" i="1"/>
  <c r="M155" i="1"/>
  <c r="K155" i="1"/>
  <c r="L154" i="1"/>
  <c r="K153" i="1"/>
  <c r="O145" i="1"/>
  <c r="P145" i="1" s="1"/>
  <c r="N145" i="1"/>
  <c r="M145" i="1"/>
  <c r="L145" i="1"/>
  <c r="N144" i="1"/>
  <c r="M144" i="1"/>
  <c r="O144" i="1" s="1"/>
  <c r="L144" i="1"/>
  <c r="P144" i="1" s="1"/>
  <c r="N143" i="1"/>
  <c r="M143" i="1"/>
  <c r="O143" i="1" s="1"/>
  <c r="L143" i="1"/>
  <c r="D176" i="1" s="1"/>
  <c r="O142" i="1"/>
  <c r="N142" i="1"/>
  <c r="M142" i="1"/>
  <c r="L142" i="1"/>
  <c r="O161" i="1" s="1"/>
  <c r="O133" i="1"/>
  <c r="P133" i="1" s="1"/>
  <c r="N133" i="1"/>
  <c r="M133" i="1"/>
  <c r="L133" i="1"/>
  <c r="N132" i="1"/>
  <c r="M132" i="1"/>
  <c r="O132" i="1" s="1"/>
  <c r="L132" i="1"/>
  <c r="N131" i="1"/>
  <c r="M131" i="1"/>
  <c r="O131" i="1" s="1"/>
  <c r="L131" i="1"/>
  <c r="O160" i="1" s="1"/>
  <c r="O130" i="1"/>
  <c r="N130" i="1"/>
  <c r="M130" i="1"/>
  <c r="L130" i="1"/>
  <c r="N160" i="1" s="1"/>
  <c r="O121" i="1"/>
  <c r="P121" i="1" s="1"/>
  <c r="N121" i="1"/>
  <c r="M121" i="1"/>
  <c r="L121" i="1"/>
  <c r="N120" i="1"/>
  <c r="M120" i="1"/>
  <c r="O120" i="1" s="1"/>
  <c r="L120" i="1"/>
  <c r="N119" i="1"/>
  <c r="M119" i="1"/>
  <c r="O119" i="1" s="1"/>
  <c r="L119" i="1"/>
  <c r="N159" i="1" s="1"/>
  <c r="O118" i="1"/>
  <c r="N118" i="1"/>
  <c r="M118" i="1"/>
  <c r="L118" i="1"/>
  <c r="M159" i="1" s="1"/>
  <c r="O109" i="1"/>
  <c r="P109" i="1" s="1"/>
  <c r="N109" i="1"/>
  <c r="M109" i="1"/>
  <c r="L109" i="1"/>
  <c r="N108" i="1"/>
  <c r="M108" i="1"/>
  <c r="O108" i="1" s="1"/>
  <c r="L108" i="1"/>
  <c r="P108" i="1" s="1"/>
  <c r="N107" i="1"/>
  <c r="M107" i="1"/>
  <c r="O107" i="1" s="1"/>
  <c r="L107" i="1"/>
  <c r="M158" i="1" s="1"/>
  <c r="O106" i="1"/>
  <c r="N106" i="1"/>
  <c r="M106" i="1"/>
  <c r="L106" i="1"/>
  <c r="H175" i="1" s="1"/>
  <c r="O97" i="1"/>
  <c r="P97" i="1" s="1"/>
  <c r="N97" i="1"/>
  <c r="M97" i="1"/>
  <c r="L97" i="1"/>
  <c r="N96" i="1"/>
  <c r="M96" i="1"/>
  <c r="O96" i="1" s="1"/>
  <c r="L96" i="1"/>
  <c r="N95" i="1"/>
  <c r="M95" i="1"/>
  <c r="O95" i="1" s="1"/>
  <c r="L95" i="1"/>
  <c r="N94" i="1"/>
  <c r="M94" i="1"/>
  <c r="L94" i="1"/>
  <c r="O85" i="1"/>
  <c r="P85" i="1" s="1"/>
  <c r="N85" i="1"/>
  <c r="M85" i="1"/>
  <c r="L85" i="1"/>
  <c r="N84" i="1"/>
  <c r="M84" i="1"/>
  <c r="O84" i="1" s="1"/>
  <c r="L84" i="1"/>
  <c r="N83" i="1"/>
  <c r="M83" i="1"/>
  <c r="O83" i="1" s="1"/>
  <c r="L83" i="1"/>
  <c r="D168" i="1" s="1"/>
  <c r="O82" i="1"/>
  <c r="N82" i="1"/>
  <c r="M82" i="1"/>
  <c r="L82" i="1"/>
  <c r="P156" i="1" s="1"/>
  <c r="O73" i="1"/>
  <c r="P73" i="1" s="1"/>
  <c r="N73" i="1"/>
  <c r="M73" i="1"/>
  <c r="L73" i="1"/>
  <c r="N72" i="1"/>
  <c r="M72" i="1"/>
  <c r="O72" i="1" s="1"/>
  <c r="L72" i="1"/>
  <c r="N71" i="1"/>
  <c r="M71" i="1"/>
  <c r="O71" i="1" s="1"/>
  <c r="L71" i="1"/>
  <c r="P71" i="1" s="1"/>
  <c r="O70" i="1"/>
  <c r="N70" i="1"/>
  <c r="M70" i="1"/>
  <c r="L70" i="1"/>
  <c r="H167" i="1" s="1"/>
  <c r="O61" i="1"/>
  <c r="P61" i="1" s="1"/>
  <c r="N61" i="1"/>
  <c r="M61" i="1"/>
  <c r="L61" i="1"/>
  <c r="N60" i="1"/>
  <c r="M60" i="1"/>
  <c r="O60" i="1" s="1"/>
  <c r="P60" i="1" s="1"/>
  <c r="L60" i="1"/>
  <c r="N59" i="1"/>
  <c r="O59" i="1" s="1"/>
  <c r="M59" i="1"/>
  <c r="L59" i="1"/>
  <c r="O58" i="1"/>
  <c r="N58" i="1"/>
  <c r="M58" i="1"/>
  <c r="L58" i="1"/>
  <c r="H171" i="1" s="1"/>
  <c r="O49" i="1"/>
  <c r="P49" i="1" s="1"/>
  <c r="N49" i="1"/>
  <c r="M49" i="1"/>
  <c r="L49" i="1"/>
  <c r="N48" i="1"/>
  <c r="M48" i="1"/>
  <c r="O48" i="1" s="1"/>
  <c r="L48" i="1"/>
  <c r="P48" i="1" s="1"/>
  <c r="N47" i="1"/>
  <c r="M47" i="1"/>
  <c r="O47" i="1" s="1"/>
  <c r="L47" i="1"/>
  <c r="P153" i="1" s="1"/>
  <c r="O46" i="1"/>
  <c r="N46" i="1"/>
  <c r="M46" i="1"/>
  <c r="L46" i="1"/>
  <c r="O153" i="1" s="1"/>
  <c r="O37" i="1"/>
  <c r="P37" i="1" s="1"/>
  <c r="N37" i="1"/>
  <c r="M37" i="1"/>
  <c r="L37" i="1"/>
  <c r="N36" i="1"/>
  <c r="M36" i="1"/>
  <c r="O36" i="1" s="1"/>
  <c r="L36" i="1"/>
  <c r="N35" i="1"/>
  <c r="M35" i="1"/>
  <c r="O35" i="1" s="1"/>
  <c r="L35" i="1"/>
  <c r="O152" i="1" s="1"/>
  <c r="O34" i="1"/>
  <c r="N34" i="1"/>
  <c r="M34" i="1"/>
  <c r="L34" i="1"/>
  <c r="N152" i="1" s="1"/>
  <c r="N25" i="1"/>
  <c r="M25" i="1"/>
  <c r="L25" i="1"/>
  <c r="N24" i="1"/>
  <c r="M24" i="1"/>
  <c r="L24" i="1"/>
  <c r="N23" i="1"/>
  <c r="M23" i="1"/>
  <c r="L23" i="1"/>
  <c r="N22" i="1"/>
  <c r="M22" i="1"/>
  <c r="L22" i="1"/>
  <c r="N13" i="1"/>
  <c r="M13" i="1"/>
  <c r="L13" i="1"/>
  <c r="N12" i="1"/>
  <c r="M12" i="1"/>
  <c r="L12" i="1"/>
  <c r="N11" i="1"/>
  <c r="M11" i="1"/>
  <c r="L11" i="1"/>
  <c r="N10" i="1"/>
  <c r="M10" i="1"/>
  <c r="L10" i="1"/>
  <c r="O94" i="1" l="1"/>
  <c r="O22" i="1"/>
  <c r="O23" i="1"/>
  <c r="O25" i="1"/>
  <c r="P25" i="1" s="1"/>
  <c r="O13" i="1"/>
  <c r="P13" i="1" s="1"/>
  <c r="O11" i="1"/>
  <c r="P11" i="1" s="1"/>
  <c r="O24" i="1"/>
  <c r="P24" i="1" s="1"/>
  <c r="O10" i="1"/>
  <c r="P10" i="1" s="1"/>
  <c r="O12" i="1"/>
  <c r="P12" i="1" s="1"/>
  <c r="P96" i="1"/>
  <c r="Q108" i="1"/>
  <c r="Q145" i="1"/>
  <c r="P36" i="1"/>
  <c r="P84" i="1"/>
  <c r="P132" i="1"/>
  <c r="Q132" i="1" s="1"/>
  <c r="P59" i="1"/>
  <c r="Q59" i="1" s="1"/>
  <c r="Q133" i="1"/>
  <c r="Q144" i="1"/>
  <c r="P72" i="1"/>
  <c r="Q109" i="1"/>
  <c r="P120" i="1"/>
  <c r="Q120" i="1" s="1"/>
  <c r="P152" i="1"/>
  <c r="P22" i="1"/>
  <c r="P34" i="1"/>
  <c r="P46" i="1"/>
  <c r="P58" i="1"/>
  <c r="P70" i="1"/>
  <c r="Q70" i="1" s="1"/>
  <c r="P82" i="1"/>
  <c r="P94" i="1"/>
  <c r="Q94" i="1" s="1"/>
  <c r="P106" i="1"/>
  <c r="P118" i="1"/>
  <c r="P130" i="1"/>
  <c r="P142" i="1"/>
  <c r="Q142" i="1" s="1"/>
  <c r="K154" i="1"/>
  <c r="L155" i="1"/>
  <c r="M156" i="1"/>
  <c r="O158" i="1"/>
  <c r="P159" i="1"/>
  <c r="D173" i="1"/>
  <c r="K152" i="1"/>
  <c r="L153" i="1"/>
  <c r="M154" i="1"/>
  <c r="N155" i="1"/>
  <c r="O156" i="1"/>
  <c r="K160" i="1"/>
  <c r="L161" i="1"/>
  <c r="D166" i="1"/>
  <c r="D170" i="1"/>
  <c r="D174" i="1"/>
  <c r="L152" i="1"/>
  <c r="M153" i="1"/>
  <c r="N154" i="1"/>
  <c r="O155" i="1"/>
  <c r="K159" i="1"/>
  <c r="L160" i="1"/>
  <c r="M161" i="1"/>
  <c r="H166" i="1"/>
  <c r="H170" i="1"/>
  <c r="H174" i="1"/>
  <c r="M152" i="1"/>
  <c r="N153" i="1"/>
  <c r="O154" i="1"/>
  <c r="P155" i="1"/>
  <c r="K158" i="1"/>
  <c r="L159" i="1"/>
  <c r="M160" i="1"/>
  <c r="N161" i="1"/>
  <c r="D167" i="1"/>
  <c r="D171" i="1"/>
  <c r="D175" i="1"/>
  <c r="P154" i="1"/>
  <c r="L158" i="1"/>
  <c r="P23" i="1"/>
  <c r="P35" i="1"/>
  <c r="Q35" i="1" s="1"/>
  <c r="P47" i="1"/>
  <c r="Q47" i="1" s="1"/>
  <c r="P83" i="1"/>
  <c r="Q83" i="1" s="1"/>
  <c r="P95" i="1"/>
  <c r="P107" i="1"/>
  <c r="Q107" i="1" s="1"/>
  <c r="P119" i="1"/>
  <c r="P131" i="1"/>
  <c r="P143" i="1"/>
  <c r="K156" i="1"/>
  <c r="P161" i="1"/>
  <c r="Q12" i="1" l="1"/>
  <c r="Q23" i="1"/>
  <c r="Q11" i="1"/>
  <c r="H168" i="1"/>
  <c r="Q60" i="1"/>
  <c r="Q82" i="1"/>
  <c r="Q143" i="1"/>
  <c r="Q58" i="1"/>
  <c r="Q72" i="1"/>
  <c r="Q85" i="1"/>
  <c r="Q84" i="1"/>
  <c r="Q131" i="1"/>
  <c r="Q46" i="1"/>
  <c r="Q61" i="1"/>
  <c r="Q48" i="1"/>
  <c r="Q73" i="1"/>
  <c r="Q97" i="1"/>
  <c r="Q119" i="1"/>
  <c r="Q130" i="1"/>
  <c r="Q34" i="1"/>
  <c r="Q24" i="1"/>
  <c r="Q37" i="1"/>
  <c r="Q36" i="1"/>
  <c r="Q49" i="1"/>
  <c r="Q121" i="1"/>
  <c r="Q118" i="1"/>
  <c r="Q22" i="1"/>
  <c r="Q13" i="1"/>
  <c r="Q25" i="1"/>
  <c r="Q96" i="1"/>
  <c r="Q95" i="1"/>
  <c r="M157" i="1" s="1"/>
  <c r="Q106" i="1"/>
  <c r="Q10" i="1"/>
  <c r="Q71" i="1"/>
  <c r="H165" i="1" l="1"/>
  <c r="M151" i="1"/>
  <c r="N151" i="1"/>
  <c r="K151" i="1"/>
  <c r="L151" i="1"/>
  <c r="D169" i="1"/>
  <c r="L150" i="1"/>
  <c r="D165" i="1"/>
  <c r="K150" i="1"/>
  <c r="M150" i="1"/>
  <c r="H169" i="1"/>
  <c r="N150" i="1"/>
  <c r="K157" i="1"/>
  <c r="N157" i="1"/>
  <c r="O157" i="1" s="1"/>
  <c r="L157" i="1"/>
  <c r="D172" i="1"/>
  <c r="O150" i="1" l="1"/>
  <c r="O151" i="1"/>
  <c r="P151" i="1" s="1"/>
  <c r="P150" i="1"/>
  <c r="P157" i="1"/>
  <c r="H179" i="1" l="1"/>
  <c r="H178" i="1"/>
  <c r="Q156" i="1"/>
  <c r="Q161" i="1"/>
  <c r="Q153" i="1"/>
  <c r="Q152" i="1"/>
  <c r="Q160" i="1"/>
  <c r="H180" i="1"/>
  <c r="Q151" i="1"/>
  <c r="Q159" i="1"/>
  <c r="Q150" i="1"/>
  <c r="D180" i="1"/>
  <c r="D179" i="1"/>
  <c r="Q154" i="1"/>
  <c r="Q155" i="1"/>
  <c r="Q157" i="1"/>
  <c r="Q158" i="1"/>
  <c r="H177" i="1" l="1"/>
  <c r="D178" i="1"/>
  <c r="D177" i="1"/>
</calcChain>
</file>

<file path=xl/sharedStrings.xml><?xml version="1.0" encoding="utf-8"?>
<sst xmlns="http://schemas.openxmlformats.org/spreadsheetml/2006/main" count="558" uniqueCount="181">
  <si>
    <t>⚽  POLLA MUNDIAL 2026  –  BANCOLDEX</t>
  </si>
  <si>
    <t>Tu nombre:</t>
  </si>
  <si>
    <t>Nº</t>
  </si>
  <si>
    <t>Fecha</t>
  </si>
  <si>
    <t>Hora</t>
  </si>
  <si>
    <t>Equipo local</t>
  </si>
  <si>
    <t>← tu pred</t>
  </si>
  <si>
    <t>vs</t>
  </si>
  <si>
    <t>tu pred →</t>
  </si>
  <si>
    <t>Equipo visit.</t>
  </si>
  <si>
    <t>Resultado real</t>
  </si>
  <si>
    <t>Penaltis (si empate)</t>
  </si>
  <si>
    <t>Clasificación</t>
  </si>
  <si>
    <t>Pts</t>
  </si>
  <si>
    <t>GF</t>
  </si>
  <si>
    <t>GC</t>
  </si>
  <si>
    <t>DG</t>
  </si>
  <si>
    <t xml:space="preserve">  GRUPO A</t>
  </si>
  <si>
    <t>Clasificación Grupo A</t>
  </si>
  <si>
    <t>Fri 12 Jun</t>
  </si>
  <si>
    <t>02:00</t>
  </si>
  <si>
    <t>Chequia</t>
  </si>
  <si>
    <t>Corea del Sur</t>
  </si>
  <si>
    <t>Thu 11 Jun</t>
  </si>
  <si>
    <t>19:00</t>
  </si>
  <si>
    <t>México</t>
  </si>
  <si>
    <t>Sudáfrica</t>
  </si>
  <si>
    <t>Thu 25 Jun</t>
  </si>
  <si>
    <t>01:00</t>
  </si>
  <si>
    <t>Thu 18 Jun</t>
  </si>
  <si>
    <t>16:00</t>
  </si>
  <si>
    <t>Fri 19 Jun</t>
  </si>
  <si>
    <t xml:space="preserve">  GRUPO B</t>
  </si>
  <si>
    <t>Clasificación Grupo B</t>
  </si>
  <si>
    <t>Bosnia y Herzegovina</t>
  </si>
  <si>
    <t>Canadá</t>
  </si>
  <si>
    <t>Sat 13 Jun</t>
  </si>
  <si>
    <t>Qatar</t>
  </si>
  <si>
    <t>Suiza</t>
  </si>
  <si>
    <t>Wed 24 Jun</t>
  </si>
  <si>
    <t>22:00</t>
  </si>
  <si>
    <t xml:space="preserve">  GRUPO C</t>
  </si>
  <si>
    <t>Clasificación Grupo C</t>
  </si>
  <si>
    <t>Brasil</t>
  </si>
  <si>
    <t>Escocia</t>
  </si>
  <si>
    <t>Haití</t>
  </si>
  <si>
    <t>Marruecos</t>
  </si>
  <si>
    <t>Sat 20 Jun</t>
  </si>
  <si>
    <t>00:30</t>
  </si>
  <si>
    <t>Sun 14 Jun</t>
  </si>
  <si>
    <t xml:space="preserve">  GRUPO D</t>
  </si>
  <si>
    <t>Clasificación Grupo D</t>
  </si>
  <si>
    <t>Australia</t>
  </si>
  <si>
    <t>Estados Unidos</t>
  </si>
  <si>
    <t>03:00</t>
  </si>
  <si>
    <t>Paraguay</t>
  </si>
  <si>
    <t>Turquía</t>
  </si>
  <si>
    <t>Fri 26 Jun</t>
  </si>
  <si>
    <t>04:00</t>
  </si>
  <si>
    <t xml:space="preserve">  GRUPO E</t>
  </si>
  <si>
    <t>Clasificación Grupo E</t>
  </si>
  <si>
    <t>20:00</t>
  </si>
  <si>
    <t>Alemania</t>
  </si>
  <si>
    <t>Costa de Marfil</t>
  </si>
  <si>
    <t>Sun 21 Jun</t>
  </si>
  <si>
    <t>00:00</t>
  </si>
  <si>
    <t>Curazao</t>
  </si>
  <si>
    <t>Ecuador</t>
  </si>
  <si>
    <t>17:00</t>
  </si>
  <si>
    <t>23:00</t>
  </si>
  <si>
    <t xml:space="preserve">  GRUPO F</t>
  </si>
  <si>
    <t>Clasificación Grupo F</t>
  </si>
  <si>
    <t>Japón</t>
  </si>
  <si>
    <t>Países Bajos</t>
  </si>
  <si>
    <t>Mon 15 Jun</t>
  </si>
  <si>
    <t>Suecia</t>
  </si>
  <si>
    <t>Túnez</t>
  </si>
  <si>
    <t xml:space="preserve">  GRUPO G</t>
  </si>
  <si>
    <t>Clasificación Grupo G</t>
  </si>
  <si>
    <t>Bélgica</t>
  </si>
  <si>
    <t>Egipto</t>
  </si>
  <si>
    <t>Tue 16 Jun</t>
  </si>
  <si>
    <t>Irán</t>
  </si>
  <si>
    <t>Nueva Zelanda</t>
  </si>
  <si>
    <t>Mon 22 Jun</t>
  </si>
  <si>
    <t>Sat 27 Jun</t>
  </si>
  <si>
    <t xml:space="preserve">  GRUPO H</t>
  </si>
  <si>
    <t>Clasificación Grupo H</t>
  </si>
  <si>
    <t>Arabia Saudita</t>
  </si>
  <si>
    <t>Cabo Verde</t>
  </si>
  <si>
    <t>España</t>
  </si>
  <si>
    <t>Uruguay</t>
  </si>
  <si>
    <t xml:space="preserve">  GRUPO I</t>
  </si>
  <si>
    <t>Clasificación Grupo I</t>
  </si>
  <si>
    <t>21:00</t>
  </si>
  <si>
    <t>Francia</t>
  </si>
  <si>
    <t>Irak</t>
  </si>
  <si>
    <t>Tue 23 Jun</t>
  </si>
  <si>
    <t>Noruega</t>
  </si>
  <si>
    <t>Senegal</t>
  </si>
  <si>
    <t xml:space="preserve">  GRUPO J</t>
  </si>
  <si>
    <t>Clasificación Grupo J</t>
  </si>
  <si>
    <t>Wed 17 Jun</t>
  </si>
  <si>
    <t>Argelia</t>
  </si>
  <si>
    <t>Argentina</t>
  </si>
  <si>
    <t>Austria</t>
  </si>
  <si>
    <t>Jordania</t>
  </si>
  <si>
    <t>Sun 28 Jun</t>
  </si>
  <si>
    <t xml:space="preserve">  GRUPO K</t>
  </si>
  <si>
    <t>Clasificación Grupo K</t>
  </si>
  <si>
    <t>23:30</t>
  </si>
  <si>
    <t>Colombia</t>
  </si>
  <si>
    <t>Portugal</t>
  </si>
  <si>
    <t>RD Congo</t>
  </si>
  <si>
    <t>Uzbekistán</t>
  </si>
  <si>
    <t xml:space="preserve">  GRUPO L</t>
  </si>
  <si>
    <t>Clasificación Grupo L</t>
  </si>
  <si>
    <t>Croacia</t>
  </si>
  <si>
    <t>Ghana</t>
  </si>
  <si>
    <t>Inglaterra</t>
  </si>
  <si>
    <t>Panamá</t>
  </si>
  <si>
    <t xml:space="preserve">  MEJORES TERCEROS — ranking de los 12 grupos (top 8 clasifican a 16avos)</t>
  </si>
  <si>
    <t>Top 8 van a 16avos  |  🟢 clasifica  🔵 posible 3°</t>
  </si>
  <si>
    <t>Equipo (3°)</t>
  </si>
  <si>
    <t>GA</t>
  </si>
  <si>
    <t>GB</t>
  </si>
  <si>
    <t>GD</t>
  </si>
  <si>
    <t>GE</t>
  </si>
  <si>
    <t>GG</t>
  </si>
  <si>
    <t>GH</t>
  </si>
  <si>
    <t>GI</t>
  </si>
  <si>
    <t>GJ</t>
  </si>
  <si>
    <t>GK</t>
  </si>
  <si>
    <t>GL</t>
  </si>
  <si>
    <t xml:space="preserve">  16AVOS DE FINAL</t>
  </si>
  <si>
    <t>Partido 1</t>
  </si>
  <si>
    <t>Partido 2</t>
  </si>
  <si>
    <t>Partido 3</t>
  </si>
  <si>
    <t>Partido 4</t>
  </si>
  <si>
    <t>Partido 5</t>
  </si>
  <si>
    <t>Partido 6</t>
  </si>
  <si>
    <t>Partido 7</t>
  </si>
  <si>
    <t>Partido 8</t>
  </si>
  <si>
    <t>Partido 9</t>
  </si>
  <si>
    <t>Partido 10</t>
  </si>
  <si>
    <t>Partido 11</t>
  </si>
  <si>
    <t>Partido 12</t>
  </si>
  <si>
    <t>Partido 13</t>
  </si>
  <si>
    <t>Partido 14</t>
  </si>
  <si>
    <t>Partido 15</t>
  </si>
  <si>
    <t>Partido 16</t>
  </si>
  <si>
    <t xml:space="preserve">  OCTAVOS DE FINAL</t>
  </si>
  <si>
    <t xml:space="preserve">  CUARTOS DE FINAL</t>
  </si>
  <si>
    <t xml:space="preserve">  SEMIFINALES</t>
  </si>
  <si>
    <t xml:space="preserve">  3ER Y 4TO PUESTO</t>
  </si>
  <si>
    <t xml:space="preserve">  🏆 GRAN FINAL</t>
  </si>
  <si>
    <t xml:space="preserve">  🟢 Clasifica a 16avos   🔵 Posible mejor 3°   🔴 Eliminado   🟣 Escribe ganador si predices empate en eliminatoria</t>
  </si>
  <si>
    <t>SISTEMA DE PUNTUACIÓN</t>
  </si>
  <si>
    <t>🎯 Marcador exacto</t>
  </si>
  <si>
    <t>4 pts</t>
  </si>
  <si>
    <t>✓+ Resultado + un marcador</t>
  </si>
  <si>
    <t>3 pts</t>
  </si>
  <si>
    <t>✓  Solo resultado correcto</t>
  </si>
  <si>
    <t>2 pts</t>
  </si>
  <si>
    <t>~  Un marcador, resultado mal</t>
  </si>
  <si>
    <t>1 pt</t>
  </si>
  <si>
    <t>✗  Ninguna</t>
  </si>
  <si>
    <t>0 pts</t>
  </si>
  <si>
    <t>Bonus 16avos de final</t>
  </si>
  <si>
    <t>+2 pts</t>
  </si>
  <si>
    <t>Bonus Octavos de final</t>
  </si>
  <si>
    <t>+3 pts</t>
  </si>
  <si>
    <t>Bonus Cuartos de final</t>
  </si>
  <si>
    <t>+4 pts</t>
  </si>
  <si>
    <t>Bonus Semifinales</t>
  </si>
  <si>
    <t>+5 pts</t>
  </si>
  <si>
    <t>Bonus 3er y 4to puesto</t>
  </si>
  <si>
    <t>+6 pts</t>
  </si>
  <si>
    <t>🏆 Bonus Campeón y subcampeón</t>
  </si>
  <si>
    <t>+7 pts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</si>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</sst>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b/>
      <i/>
      <sz val="10"/>
      <color rgb="FF555555"/>
      <name val="Calibri"/>
      <family val="2"/>
    </font>
    <font>
      <b/>
      <sz val="9"/>
      <color rgb="FF555555"/>
      <name val="Calibri"/>
      <family val="2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b/>
      <sz val="9"/>
      <color rgb="FF888888"/>
      <name val="Calibri"/>
      <family val="2"/>
    </font>
    <font>
      <b/>
      <sz val="8"/>
      <color rgb="FF555555"/>
      <name val="Calibri"/>
      <family val="2"/>
    </font>
    <font>
      <sz val="9"/>
      <color rgb="FF111111"/>
      <name val="Calibri"/>
      <family val="2"/>
    </font>
    <font>
      <b/>
      <sz val="13"/>
      <color rgb="FF111111"/>
      <name val="Calibri"/>
      <family val="2"/>
    </font>
    <font>
      <sz val="9"/>
      <color rgb="FF888888"/>
      <name val="Calibri"/>
      <family val="2"/>
    </font>
    <font>
      <b/>
      <sz val="9"/>
      <color rgb="FF111111"/>
      <name val="Calibri"/>
      <family val="2"/>
    </font>
    <font>
      <sz val="8"/>
      <color rgb="FFAAAAAA"/>
      <name val="Calibri"/>
      <family val="2"/>
    </font>
    <font>
      <b/>
      <sz val="11"/>
      <color rgb="FFFFFFFF"/>
      <name val="Calibri"/>
      <family val="2"/>
    </font>
    <font>
      <sz val="9"/>
      <color rgb="FF555555"/>
      <name val="Calibri"/>
      <family val="2"/>
    </font>
    <font>
      <b/>
      <i/>
      <sz val="9"/>
      <color rgb="FF222222"/>
      <name val="Calibri"/>
      <family val="2"/>
    </font>
    <font>
      <i/>
      <sz val="9"/>
      <color rgb="FF4A148C"/>
      <name val="Calibri"/>
      <family val="2"/>
    </font>
    <font>
      <i/>
      <sz val="8"/>
      <color rgb="FF555555"/>
      <name val="Calibri"/>
      <family val="2"/>
    </font>
    <font>
      <b/>
      <sz val="9"/>
      <color rgb="FFC9A84C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1A5C2A"/>
      </patternFill>
    </fill>
    <fill>
      <patternFill patternType="solid">
        <fgColor rgb="FFFFFDE7"/>
      </patternFill>
    </fill>
    <fill>
      <patternFill patternType="solid">
        <fgColor rgb="FFE8E8E8"/>
      </patternFill>
    </fill>
    <fill>
      <patternFill patternType="solid">
        <fgColor rgb="FF2D7A3F"/>
      </patternFill>
    </fill>
    <fill>
      <patternFill patternType="solid">
        <fgColor rgb="FFC9A84C"/>
      </patternFill>
    </fill>
    <fill>
      <patternFill patternType="solid">
        <fgColor rgb="FFF5F5F5"/>
      </patternFill>
    </fill>
    <fill>
      <patternFill patternType="solid">
        <fgColor rgb="FF7B1FA2"/>
      </patternFill>
    </fill>
    <fill>
      <patternFill patternType="solid">
        <fgColor rgb="FF3D8B50"/>
      </patternFill>
    </fill>
    <fill>
      <patternFill patternType="solid">
        <fgColor rgb="FFF9FAFB"/>
      </patternFill>
    </fill>
    <fill>
      <patternFill patternType="solid">
        <fgColor rgb="FFFFFFFF"/>
      </patternFill>
    </fill>
    <fill>
      <patternFill patternType="solid">
        <fgColor rgb="FF0D47A1"/>
      </patternFill>
    </fill>
    <fill>
      <patternFill patternType="solid">
        <fgColor rgb="FF1565C0"/>
      </patternFill>
    </fill>
    <fill>
      <patternFill patternType="solid">
        <fgColor rgb="FFE3F0FF"/>
      </patternFill>
    </fill>
    <fill>
      <patternFill patternType="solid">
        <fgColor rgb="FFEDE7F6"/>
      </patternFill>
    </fill>
    <fill>
      <patternFill patternType="solid">
        <fgColor rgb="FF6A1F8A"/>
      </patternFill>
    </fill>
    <fill>
      <patternFill patternType="solid">
        <fgColor rgb="FFF3E5F5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880E4F"/>
      </patternFill>
    </fill>
    <fill>
      <patternFill patternType="solid">
        <fgColor rgb="FFFCE4EC"/>
      </patternFill>
    </fill>
    <fill>
      <patternFill patternType="solid">
        <fgColor rgb="FF4E342E"/>
      </patternFill>
    </fill>
    <fill>
      <patternFill patternType="solid">
        <fgColor rgb="FFEFEBE9"/>
      </patternFill>
    </fill>
  </fills>
  <borders count="4">
    <border>
      <left/>
      <right/>
      <top/>
      <bottom/>
      <diagonal/>
    </border>
    <border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E93D8"/>
      </left>
      <right style="thin">
        <color rgb="FFCE93D8"/>
      </right>
      <top style="thin">
        <color rgb="FFCE93D8"/>
      </top>
      <bottom style="thin">
        <color rgb="FFCE93D8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right" vertical="center"/>
    </xf>
    <xf numFmtId="0" fontId="11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left" vertical="center"/>
    </xf>
    <xf numFmtId="0" fontId="9" fillId="11" borderId="2" xfId="0" applyFont="1" applyFill="1" applyBorder="1" applyAlignment="1">
      <alignment horizontal="right" vertical="center"/>
    </xf>
    <xf numFmtId="0" fontId="12" fillId="7" borderId="2" xfId="0" applyFont="1" applyFill="1" applyBorder="1" applyAlignment="1">
      <alignment horizontal="left" vertical="center"/>
    </xf>
    <xf numFmtId="0" fontId="13" fillId="0" borderId="0" xfId="0" applyFont="1"/>
    <xf numFmtId="0" fontId="9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left" vertical="center"/>
    </xf>
    <xf numFmtId="0" fontId="16" fillId="14" borderId="2" xfId="0" applyFont="1" applyFill="1" applyBorder="1" applyAlignment="1">
      <alignment horizontal="right" vertical="center"/>
    </xf>
    <xf numFmtId="0" fontId="16" fillId="14" borderId="2" xfId="0" applyFont="1" applyFill="1" applyBorder="1" applyAlignment="1">
      <alignment horizontal="left" vertical="center"/>
    </xf>
    <xf numFmtId="0" fontId="15" fillId="17" borderId="2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left" vertical="center"/>
    </xf>
    <xf numFmtId="0" fontId="16" fillId="17" borderId="2" xfId="0" applyFont="1" applyFill="1" applyBorder="1" applyAlignment="1">
      <alignment horizontal="right" vertical="center"/>
    </xf>
    <xf numFmtId="0" fontId="16" fillId="17" borderId="2" xfId="0" applyFont="1" applyFill="1" applyBorder="1" applyAlignment="1">
      <alignment horizontal="left" vertical="center"/>
    </xf>
    <xf numFmtId="0" fontId="15" fillId="19" borderId="2" xfId="0" applyFont="1" applyFill="1" applyBorder="1" applyAlignment="1">
      <alignment horizontal="center" vertical="center"/>
    </xf>
    <xf numFmtId="0" fontId="15" fillId="19" borderId="2" xfId="0" applyFont="1" applyFill="1" applyBorder="1" applyAlignment="1">
      <alignment horizontal="left" vertical="center"/>
    </xf>
    <xf numFmtId="0" fontId="16" fillId="19" borderId="2" xfId="0" applyFont="1" applyFill="1" applyBorder="1" applyAlignment="1">
      <alignment horizontal="right" vertical="center"/>
    </xf>
    <xf numFmtId="0" fontId="16" fillId="19" borderId="2" xfId="0" applyFont="1" applyFill="1" applyBorder="1" applyAlignment="1">
      <alignment horizontal="left" vertical="center"/>
    </xf>
    <xf numFmtId="0" fontId="15" fillId="21" borderId="2" xfId="0" applyFont="1" applyFill="1" applyBorder="1" applyAlignment="1">
      <alignment horizontal="center" vertical="center"/>
    </xf>
    <xf numFmtId="0" fontId="15" fillId="21" borderId="2" xfId="0" applyFont="1" applyFill="1" applyBorder="1" applyAlignment="1">
      <alignment horizontal="left" vertical="center"/>
    </xf>
    <xf numFmtId="0" fontId="16" fillId="21" borderId="2" xfId="0" applyFont="1" applyFill="1" applyBorder="1" applyAlignment="1">
      <alignment horizontal="right" vertical="center"/>
    </xf>
    <xf numFmtId="0" fontId="16" fillId="21" borderId="2" xfId="0" applyFont="1" applyFill="1" applyBorder="1" applyAlignment="1">
      <alignment horizontal="left" vertical="center"/>
    </xf>
    <xf numFmtId="0" fontId="15" fillId="23" borderId="2" xfId="0" applyFont="1" applyFill="1" applyBorder="1" applyAlignment="1">
      <alignment horizontal="center" vertical="center"/>
    </xf>
    <xf numFmtId="0" fontId="15" fillId="23" borderId="2" xfId="0" applyFont="1" applyFill="1" applyBorder="1" applyAlignment="1">
      <alignment horizontal="left" vertical="center"/>
    </xf>
    <xf numFmtId="0" fontId="16" fillId="23" borderId="2" xfId="0" applyFont="1" applyFill="1" applyBorder="1" applyAlignment="1">
      <alignment horizontal="right" vertical="center"/>
    </xf>
    <xf numFmtId="0" fontId="16" fillId="23" borderId="2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0" fontId="16" fillId="3" borderId="2" xfId="0" applyFont="1" applyFill="1" applyBorder="1" applyAlignment="1">
      <alignment horizontal="right" vertical="center"/>
    </xf>
    <xf numFmtId="0" fontId="16" fillId="3" borderId="2" xfId="0" applyFont="1" applyFill="1" applyBorder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0" fillId="0" borderId="0" xfId="0"/>
    <xf numFmtId="0" fontId="5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4" fillId="18" borderId="0" xfId="0" applyFont="1" applyFill="1" applyAlignment="1">
      <alignment horizontal="left" vertical="center"/>
    </xf>
    <xf numFmtId="0" fontId="14" fillId="20" borderId="0" xfId="0" applyFont="1" applyFill="1" applyAlignment="1">
      <alignment horizontal="left" vertical="center"/>
    </xf>
    <xf numFmtId="0" fontId="9" fillId="7" borderId="2" xfId="0" applyFont="1" applyFill="1" applyBorder="1" applyAlignment="1">
      <alignment horizontal="left" vertical="center"/>
    </xf>
    <xf numFmtId="0" fontId="9" fillId="11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14" fillId="6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4" fillId="13" borderId="0" xfId="0" applyFont="1" applyFill="1" applyAlignment="1">
      <alignment horizontal="left" vertical="center"/>
    </xf>
    <xf numFmtId="0" fontId="19" fillId="11" borderId="2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left" vertical="center"/>
    </xf>
    <xf numFmtId="0" fontId="14" fillId="16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14" fillId="22" borderId="0" xfId="0" applyFont="1" applyFill="1" applyAlignment="1">
      <alignment horizontal="left" vertical="center"/>
    </xf>
    <xf numFmtId="0" fontId="18" fillId="7" borderId="0" xfId="0" applyFont="1" applyFill="1" applyAlignment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17" fillId="15" borderId="3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37"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  <dxf>
      <font>
        <color rgb="FFC62828"/>
        <name val="Calibri"/>
      </font>
      <fill>
        <patternFill patternType="solid">
          <fgColor rgb="FFFFCDD2"/>
        </patternFill>
      </fill>
    </dxf>
    <dxf>
      <font>
        <b/>
        <color rgb="FF0D47A1"/>
        <name val="Calibri"/>
      </font>
      <fill>
        <patternFill patternType="solid">
          <fgColor rgb="FFBBDEFB"/>
        </patternFill>
      </fill>
    </dxf>
    <dxf>
      <font>
        <b/>
        <color rgb="FF1B5E20"/>
        <name val="Calibri"/>
      </font>
      <fill>
        <patternFill patternType="solid">
          <f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3B3696-3170-7146-8D90-EB0AC659C40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93ada047-2d46-43fa-a12a-c76adae057d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3"/>
  <sheetViews>
    <sheetView tabSelected="1" workbookViewId="0">
      <pane xSplit="4" ySplit="2" topLeftCell="E227" activePane="bottomRight" state="frozen"/>
      <selection pane="topRight"/>
      <selection pane="bottomLeft"/>
      <selection pane="bottomRight" activeCell="J7" sqref="J7"/>
    </sheetView>
  </sheetViews>
  <sheetFormatPr baseColWidth="10" defaultColWidth="8.83203125" defaultRowHeight="15" x14ac:dyDescent="0.2"/>
  <cols>
    <col min="1" max="1" width="5" customWidth="1"/>
    <col min="2" max="2" width="14" customWidth="1"/>
    <col min="3" max="3" width="8" customWidth="1"/>
    <col min="4" max="4" width="26" customWidth="1"/>
    <col min="5" max="5" width="6" customWidth="1"/>
    <col min="6" max="6" width="4" customWidth="1"/>
    <col min="7" max="7" width="6" customWidth="1"/>
    <col min="8" max="8" width="26" customWidth="1"/>
    <col min="9" max="9" width="12" customWidth="1"/>
    <col min="10" max="10" width="20" customWidth="1"/>
    <col min="11" max="11" width="26" customWidth="1"/>
    <col min="12" max="14" width="5" customWidth="1"/>
    <col min="15" max="15" width="22" customWidth="1"/>
    <col min="16" max="16" width="5" hidden="1" customWidth="1"/>
    <col min="17" max="17" width="13" hidden="1" customWidth="1"/>
  </cols>
  <sheetData>
    <row r="1" spans="1:17" ht="28" customHeight="1" x14ac:dyDescent="0.2">
      <c r="A1" s="47" t="s">
        <v>0</v>
      </c>
      <c r="B1" s="45"/>
      <c r="C1" s="45"/>
      <c r="D1" s="45"/>
      <c r="E1" s="45"/>
      <c r="F1" s="45"/>
      <c r="G1" s="45"/>
      <c r="H1" s="45"/>
      <c r="I1" s="45"/>
      <c r="J1" s="1"/>
      <c r="K1" s="52" t="s">
        <v>1</v>
      </c>
      <c r="L1" s="45"/>
      <c r="M1" s="45"/>
      <c r="N1" s="45"/>
      <c r="O1" s="66"/>
    </row>
    <row r="2" spans="1:17" ht="22" customHeight="1" x14ac:dyDescent="0.2">
      <c r="A2" s="2" t="s">
        <v>2</v>
      </c>
      <c r="B2" s="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4" t="s">
        <v>8</v>
      </c>
      <c r="H2" s="3" t="s">
        <v>9</v>
      </c>
      <c r="I2" s="2" t="s">
        <v>10</v>
      </c>
      <c r="J2" s="6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</row>
    <row r="3" spans="1:17" ht="20" customHeight="1" x14ac:dyDescent="0.2">
      <c r="A3" s="44" t="s">
        <v>17</v>
      </c>
      <c r="B3" s="45"/>
      <c r="C3" s="45"/>
      <c r="D3" s="45"/>
      <c r="E3" s="45"/>
      <c r="F3" s="45"/>
      <c r="G3" s="45"/>
      <c r="H3" s="45"/>
      <c r="I3" s="45"/>
      <c r="J3" s="45"/>
      <c r="K3" s="46" t="s">
        <v>18</v>
      </c>
      <c r="L3" s="45"/>
      <c r="M3" s="45"/>
      <c r="N3" s="45"/>
      <c r="O3" s="45"/>
      <c r="P3" s="45"/>
    </row>
    <row r="4" spans="1:17" ht="18" customHeight="1" x14ac:dyDescent="0.2">
      <c r="A4" s="8">
        <v>1</v>
      </c>
      <c r="B4" s="9" t="s">
        <v>19</v>
      </c>
      <c r="C4" s="8" t="s">
        <v>20</v>
      </c>
      <c r="D4" s="10" t="s">
        <v>21</v>
      </c>
      <c r="E4" s="64"/>
      <c r="F4" s="8" t="s">
        <v>7</v>
      </c>
      <c r="G4" s="64"/>
      <c r="H4" s="9" t="s">
        <v>22</v>
      </c>
      <c r="I4" s="11"/>
      <c r="J4" s="12"/>
    </row>
    <row r="5" spans="1:17" ht="18" customHeight="1" x14ac:dyDescent="0.2">
      <c r="A5" s="13">
        <v>2</v>
      </c>
      <c r="B5" s="14" t="s">
        <v>23</v>
      </c>
      <c r="C5" s="13" t="s">
        <v>24</v>
      </c>
      <c r="D5" s="15" t="s">
        <v>25</v>
      </c>
      <c r="E5" s="64"/>
      <c r="F5" s="13" t="s">
        <v>7</v>
      </c>
      <c r="G5" s="64"/>
      <c r="H5" s="14" t="s">
        <v>26</v>
      </c>
      <c r="I5" s="11"/>
      <c r="J5" s="12"/>
    </row>
    <row r="6" spans="1:17" ht="18" customHeight="1" x14ac:dyDescent="0.2">
      <c r="A6" s="8">
        <v>25</v>
      </c>
      <c r="B6" s="9" t="s">
        <v>27</v>
      </c>
      <c r="C6" s="8" t="s">
        <v>28</v>
      </c>
      <c r="D6" s="10" t="s">
        <v>21</v>
      </c>
      <c r="E6" s="64"/>
      <c r="F6" s="8" t="s">
        <v>7</v>
      </c>
      <c r="G6" s="64"/>
      <c r="H6" s="9" t="s">
        <v>25</v>
      </c>
      <c r="I6" s="11"/>
      <c r="J6" s="12"/>
    </row>
    <row r="7" spans="1:17" ht="18" customHeight="1" x14ac:dyDescent="0.2">
      <c r="A7" s="13">
        <v>26</v>
      </c>
      <c r="B7" s="14" t="s">
        <v>27</v>
      </c>
      <c r="C7" s="13" t="s">
        <v>28</v>
      </c>
      <c r="D7" s="15" t="s">
        <v>22</v>
      </c>
      <c r="E7" s="64"/>
      <c r="F7" s="13" t="s">
        <v>7</v>
      </c>
      <c r="G7" s="64"/>
      <c r="H7" s="14" t="s">
        <v>26</v>
      </c>
      <c r="I7" s="11"/>
      <c r="J7" s="12"/>
    </row>
    <row r="8" spans="1:17" ht="18" customHeight="1" x14ac:dyDescent="0.2">
      <c r="A8" s="8">
        <v>49</v>
      </c>
      <c r="B8" s="9" t="s">
        <v>29</v>
      </c>
      <c r="C8" s="8" t="s">
        <v>30</v>
      </c>
      <c r="D8" s="10" t="s">
        <v>21</v>
      </c>
      <c r="E8" s="64"/>
      <c r="F8" s="8" t="s">
        <v>7</v>
      </c>
      <c r="G8" s="64"/>
      <c r="H8" s="9" t="s">
        <v>26</v>
      </c>
      <c r="I8" s="11"/>
      <c r="J8" s="12"/>
    </row>
    <row r="9" spans="1:17" ht="18" customHeight="1" x14ac:dyDescent="0.2">
      <c r="A9" s="13">
        <v>50</v>
      </c>
      <c r="B9" s="14" t="s">
        <v>31</v>
      </c>
      <c r="C9" s="13" t="s">
        <v>28</v>
      </c>
      <c r="D9" s="15" t="s">
        <v>22</v>
      </c>
      <c r="E9" s="64"/>
      <c r="F9" s="13" t="s">
        <v>7</v>
      </c>
      <c r="G9" s="64"/>
      <c r="H9" s="14" t="s">
        <v>25</v>
      </c>
      <c r="I9" s="11"/>
      <c r="J9" s="12"/>
    </row>
    <row r="10" spans="1:17" ht="17" customHeight="1" x14ac:dyDescent="0.2">
      <c r="K10" s="16" t="s">
        <v>21</v>
      </c>
      <c r="L10" s="12">
        <f>IF(AND(ISNUMBER(E4),ISNUMBER(G4)),IF(E4&gt;G4,3,IF(E4=G4,1,0)),0)+IF(AND(ISNUMBER(E6),ISNUMBER(G6)),IF(E6&gt;G6,3,IF(E6=G6,1,0)),0)+IF(AND(ISNUMBER(E8),ISNUMBER(G8)),IF(E8&gt;G8,3,IF(E8=G8,1,0)),0)</f>
        <v>0</v>
      </c>
      <c r="M10" s="12">
        <f>IF(ISNUMBER(E4),E4,0)+IF(ISNUMBER(E6),E6,0)+IF(ISNUMBER(E8),E8,0)</f>
        <v>0</v>
      </c>
      <c r="N10" s="12">
        <f>IF(ISNUMBER(G4),G4,0)+IF(ISNUMBER(G6),G6,0)+IF(ISNUMBER(G8),G8,0)</f>
        <v>0</v>
      </c>
      <c r="O10" s="12">
        <f>M10-N10</f>
        <v>0</v>
      </c>
      <c r="P10" s="17">
        <f>L10*10000+O10*100+M10+0.001</f>
        <v>1E-3</v>
      </c>
      <c r="Q10" s="17">
        <f>RANK(P10,P10:P13,0)</f>
        <v>4</v>
      </c>
    </row>
    <row r="11" spans="1:17" ht="17" customHeight="1" x14ac:dyDescent="0.2">
      <c r="K11" s="16" t="s">
        <v>25</v>
      </c>
      <c r="L11" s="12">
        <f>IF(AND(ISNUMBER(E5),ISNUMBER(G5)),IF(E5&gt;G5,3,IF(E5=G5,1,0)),0)+IF(AND(ISNUMBER(E6),ISNUMBER(G6)),IF(G6&gt;E6,3,IF(E6=G6,1,0)),0)+IF(AND(ISNUMBER(E9),ISNUMBER(G9)),IF(G9&gt;E9,3,IF(E9=G9,1,0)),0)</f>
        <v>0</v>
      </c>
      <c r="M11" s="12">
        <f>IF(ISNUMBER(E5),E5,0)+IF(ISNUMBER(G6),G6,0)+IF(ISNUMBER(G9),G9,0)</f>
        <v>0</v>
      </c>
      <c r="N11" s="12">
        <f>IF(ISNUMBER(G5),G5,0)+IF(ISNUMBER(E6),E6,0)+IF(ISNUMBER(E9),E9,0)</f>
        <v>0</v>
      </c>
      <c r="O11" s="12">
        <f>M11-N11</f>
        <v>0</v>
      </c>
      <c r="P11" s="17">
        <f>L11*10000+O11*100+M11+0.002</f>
        <v>2E-3</v>
      </c>
      <c r="Q11" s="17">
        <f>RANK(P11,P10:P13,0)</f>
        <v>3</v>
      </c>
    </row>
    <row r="12" spans="1:17" ht="17" customHeight="1" x14ac:dyDescent="0.2">
      <c r="K12" s="16" t="s">
        <v>22</v>
      </c>
      <c r="L12" s="12">
        <f>IF(AND(ISNUMBER(E7),ISNUMBER(G7)),IF(E7&gt;G7,3,IF(E7=G7,1,0)),0)+IF(AND(ISNUMBER(E9),ISNUMBER(G9)),IF(E9&gt;G9,3,IF(E9=G9,1,0)),0)+IF(AND(ISNUMBER(E4),ISNUMBER(G4)),IF(G4&gt;E4,3,IF(E4=G4,1,0)),0)</f>
        <v>0</v>
      </c>
      <c r="M12" s="12">
        <f>IF(ISNUMBER(E7),E7,0)+IF(ISNUMBER(E9),E9,0)+IF(ISNUMBER(G4),G4,0)</f>
        <v>0</v>
      </c>
      <c r="N12" s="12">
        <f>IF(ISNUMBER(G7),G7,0)+IF(ISNUMBER(G9),G9,0)+IF(ISNUMBER(E4),E4,0)</f>
        <v>0</v>
      </c>
      <c r="O12" s="12">
        <f>M12-N12</f>
        <v>0</v>
      </c>
      <c r="P12" s="17">
        <f>L12*10000+O12*100+M12+0.003</f>
        <v>3.0000000000000001E-3</v>
      </c>
      <c r="Q12" s="17">
        <f>RANK(P12,P10:P13,0)</f>
        <v>2</v>
      </c>
    </row>
    <row r="13" spans="1:17" ht="17" customHeight="1" x14ac:dyDescent="0.2">
      <c r="K13" s="16" t="s">
        <v>26</v>
      </c>
      <c r="L13" s="12">
        <f>IF(AND(ISNUMBER(E5),ISNUMBER(G5)),IF(G5&gt;E5,3,IF(E5=G5,1,0)),0)+IF(AND(ISNUMBER(E7),ISNUMBER(G7)),IF(G7&gt;E7,3,IF(E7=G7,1,0)),0)+IF(AND(ISNUMBER(E8),ISNUMBER(G8)),IF(G8&gt;E8,3,IF(E8=G8,1,0)),0)</f>
        <v>0</v>
      </c>
      <c r="M13" s="12">
        <f>IF(ISNUMBER(G5),G5,0)+IF(ISNUMBER(G7),G7,0)+IF(ISNUMBER(G8),G8,0)</f>
        <v>0</v>
      </c>
      <c r="N13" s="12">
        <f>IF(ISNUMBER(E5),E5,0)+IF(ISNUMBER(E7),E7,0)+IF(ISNUMBER(E8),E8,0)</f>
        <v>0</v>
      </c>
      <c r="O13" s="12">
        <f>M13-N13</f>
        <v>0</v>
      </c>
      <c r="P13" s="17">
        <f>L13*10000+O13*100+M13+0.004</f>
        <v>4.0000000000000001E-3</v>
      </c>
      <c r="Q13" s="17">
        <f>RANK(P13,P10:P13,0)</f>
        <v>1</v>
      </c>
    </row>
    <row r="15" spans="1:17" ht="20" customHeight="1" x14ac:dyDescent="0.2">
      <c r="A15" s="44" t="s">
        <v>32</v>
      </c>
      <c r="B15" s="45"/>
      <c r="C15" s="45"/>
      <c r="D15" s="45"/>
      <c r="E15" s="45"/>
      <c r="F15" s="45"/>
      <c r="G15" s="45"/>
      <c r="H15" s="45"/>
      <c r="I15" s="45"/>
      <c r="J15" s="45"/>
      <c r="K15" s="46" t="s">
        <v>33</v>
      </c>
      <c r="L15" s="45"/>
      <c r="M15" s="45"/>
      <c r="N15" s="45"/>
      <c r="O15" s="45"/>
      <c r="P15" s="45"/>
    </row>
    <row r="16" spans="1:17" ht="18" customHeight="1" x14ac:dyDescent="0.2">
      <c r="A16" s="8">
        <v>3</v>
      </c>
      <c r="B16" s="9" t="s">
        <v>19</v>
      </c>
      <c r="C16" s="8" t="s">
        <v>24</v>
      </c>
      <c r="D16" s="10" t="s">
        <v>34</v>
      </c>
      <c r="E16" s="64"/>
      <c r="F16" s="8" t="s">
        <v>7</v>
      </c>
      <c r="G16" s="64"/>
      <c r="H16" s="9" t="s">
        <v>35</v>
      </c>
      <c r="I16" s="11"/>
      <c r="J16" s="12"/>
    </row>
    <row r="17" spans="1:17" ht="18" customHeight="1" x14ac:dyDescent="0.2">
      <c r="A17" s="13">
        <v>4</v>
      </c>
      <c r="B17" s="14" t="s">
        <v>36</v>
      </c>
      <c r="C17" s="13" t="s">
        <v>24</v>
      </c>
      <c r="D17" s="15" t="s">
        <v>37</v>
      </c>
      <c r="E17" s="64"/>
      <c r="F17" s="13" t="s">
        <v>7</v>
      </c>
      <c r="G17" s="64"/>
      <c r="H17" s="14" t="s">
        <v>38</v>
      </c>
      <c r="I17" s="11"/>
      <c r="J17" s="12"/>
    </row>
    <row r="18" spans="1:17" ht="18" customHeight="1" x14ac:dyDescent="0.2">
      <c r="A18" s="8">
        <v>27</v>
      </c>
      <c r="B18" s="9" t="s">
        <v>39</v>
      </c>
      <c r="C18" s="8" t="s">
        <v>24</v>
      </c>
      <c r="D18" s="10" t="s">
        <v>34</v>
      </c>
      <c r="E18" s="64"/>
      <c r="F18" s="8" t="s">
        <v>7</v>
      </c>
      <c r="G18" s="64"/>
      <c r="H18" s="9" t="s">
        <v>37</v>
      </c>
      <c r="I18" s="11"/>
      <c r="J18" s="12"/>
    </row>
    <row r="19" spans="1:17" ht="18" customHeight="1" x14ac:dyDescent="0.2">
      <c r="A19" s="13">
        <v>28</v>
      </c>
      <c r="B19" s="14" t="s">
        <v>39</v>
      </c>
      <c r="C19" s="13" t="s">
        <v>24</v>
      </c>
      <c r="D19" s="15" t="s">
        <v>35</v>
      </c>
      <c r="E19" s="64"/>
      <c r="F19" s="13" t="s">
        <v>7</v>
      </c>
      <c r="G19" s="64"/>
      <c r="H19" s="14" t="s">
        <v>180</v>
      </c>
      <c r="I19" s="11"/>
      <c r="J19" s="12"/>
    </row>
    <row r="20" spans="1:17" ht="18" customHeight="1" x14ac:dyDescent="0.2">
      <c r="A20" s="8">
        <v>51</v>
      </c>
      <c r="B20" s="9" t="s">
        <v>29</v>
      </c>
      <c r="C20" s="8" t="s">
        <v>24</v>
      </c>
      <c r="D20" s="10" t="s">
        <v>34</v>
      </c>
      <c r="E20" s="64"/>
      <c r="F20" s="8" t="s">
        <v>7</v>
      </c>
      <c r="G20" s="64"/>
      <c r="H20" s="9" t="s">
        <v>38</v>
      </c>
      <c r="I20" s="11"/>
      <c r="J20" s="12"/>
    </row>
    <row r="21" spans="1:17" ht="18" customHeight="1" x14ac:dyDescent="0.2">
      <c r="A21" s="13">
        <v>52</v>
      </c>
      <c r="B21" s="14" t="s">
        <v>29</v>
      </c>
      <c r="C21" s="13" t="s">
        <v>40</v>
      </c>
      <c r="D21" s="15" t="s">
        <v>35</v>
      </c>
      <c r="E21" s="64"/>
      <c r="F21" s="13" t="s">
        <v>7</v>
      </c>
      <c r="G21" s="64"/>
      <c r="H21" s="14" t="s">
        <v>37</v>
      </c>
      <c r="I21" s="11"/>
      <c r="J21" s="12"/>
    </row>
    <row r="22" spans="1:17" ht="17" customHeight="1" x14ac:dyDescent="0.2">
      <c r="K22" s="16" t="s">
        <v>34</v>
      </c>
      <c r="L22" s="12">
        <f>IF(AND(ISNUMBER(E16),ISNUMBER(G16)),IF(E16&gt;G16,3,IF(E16=G16,1,0)),0)+IF(AND(ISNUMBER(E18),ISNUMBER(G18)),IF(E18&gt;G18,3,IF(E18=G18,1,0)),0)+IF(AND(ISNUMBER(E20),ISNUMBER(G20)),IF(E20&gt;G20,3,IF(E20=G20,1,0)),0)</f>
        <v>0</v>
      </c>
      <c r="M22" s="12">
        <f>IF(ISNUMBER(E16),E16,0)+IF(ISNUMBER(E18),E18,0)+IF(ISNUMBER(E20),E20,0)</f>
        <v>0</v>
      </c>
      <c r="N22" s="12">
        <f>IF(ISNUMBER(G16),G16,0)+IF(ISNUMBER(G18),G18,0)+IF(ISNUMBER(G20),G20,0)</f>
        <v>0</v>
      </c>
      <c r="O22" s="12">
        <f>M22-N22</f>
        <v>0</v>
      </c>
      <c r="P22" s="17">
        <f>L22*10000+O22*100+M22+0.001</f>
        <v>1E-3</v>
      </c>
      <c r="Q22" s="17">
        <f>RANK(P22,P22:P25,0)</f>
        <v>4</v>
      </c>
    </row>
    <row r="23" spans="1:17" ht="17" customHeight="1" x14ac:dyDescent="0.2">
      <c r="K23" s="16" t="s">
        <v>37</v>
      </c>
      <c r="L23" s="12">
        <f>IF(AND(ISNUMBER(E17),ISNUMBER(G17)),IF(E17&gt;G17,3,IF(E17=G17,1,0)),0)+IF(AND(ISNUMBER(E18),ISNUMBER(G18)),IF(G18&gt;E18,3,IF(E18=G18,1,0)),0)+IF(AND(ISNUMBER(E21),ISNUMBER(G21)),IF(G21&gt;E21,3,IF(E21=G21,1,0)),0)</f>
        <v>0</v>
      </c>
      <c r="M23" s="12">
        <f>IF(ISNUMBER(E17),E17,0)+IF(ISNUMBER(G18),G18,0)+IF(ISNUMBER(G21),G21,0)</f>
        <v>0</v>
      </c>
      <c r="N23" s="12">
        <f>IF(ISNUMBER(G17),G17,0)+IF(ISNUMBER(E18),E18,0)+IF(ISNUMBER(E21),E21,0)</f>
        <v>0</v>
      </c>
      <c r="O23" s="12">
        <f>M23-N23</f>
        <v>0</v>
      </c>
      <c r="P23" s="17">
        <f>L23*10000+O23*100+M23+0.002</f>
        <v>2E-3</v>
      </c>
      <c r="Q23" s="17">
        <f>RANK(P23,P22:P25,0)</f>
        <v>3</v>
      </c>
    </row>
    <row r="24" spans="1:17" ht="17" customHeight="1" x14ac:dyDescent="0.2">
      <c r="K24" s="16" t="s">
        <v>35</v>
      </c>
      <c r="L24" s="12">
        <f>IF(AND(ISNUMBER(E19),ISNUMBER(G19)),IF(E19&gt;G19,3,IF(E19=G19,1,0)),0)+IF(AND(ISNUMBER(E21),ISNUMBER(G21)),IF(E21&gt;G21,3,IF(E21=G21,1,0)),0)+IF(AND(ISNUMBER(E16),ISNUMBER(G16)),IF(G16&gt;E16,3,IF(E16=G16,1,0)),0)</f>
        <v>0</v>
      </c>
      <c r="M24" s="12">
        <f>IF(ISNUMBER(E19),E19,0)+IF(ISNUMBER(E21),E21,0)+IF(ISNUMBER(G16),G16,0)</f>
        <v>0</v>
      </c>
      <c r="N24" s="12">
        <f>IF(ISNUMBER(G19),G19,0)+IF(ISNUMBER(G21),G21,0)+IF(ISNUMBER(E16),E16,0)</f>
        <v>0</v>
      </c>
      <c r="O24" s="12">
        <f>M24-N24</f>
        <v>0</v>
      </c>
      <c r="P24" s="17">
        <f>L24*10000+O24*100+M24+0.003</f>
        <v>3.0000000000000001E-3</v>
      </c>
      <c r="Q24" s="17">
        <f>RANK(P24,P22:P25,0)</f>
        <v>2</v>
      </c>
    </row>
    <row r="25" spans="1:17" ht="17" customHeight="1" x14ac:dyDescent="0.2">
      <c r="K25" s="16" t="s">
        <v>38</v>
      </c>
      <c r="L25" s="12">
        <f>IF(AND(ISNUMBER(E17),ISNUMBER(G17)),IF(G17&gt;E17,3,IF(E17=G17,1,0)),0)+IF(AND(ISNUMBER(E19),ISNUMBER(G19)),IF(G19&gt;E19,3,IF(E19=G19,1,0)),0)+IF(AND(ISNUMBER(E20),ISNUMBER(G20)),IF(G20&gt;E20,3,IF(E20=G20,1,0)),0)</f>
        <v>0</v>
      </c>
      <c r="M25" s="12">
        <f>IF(ISNUMBER(G17),G17,0)+IF(ISNUMBER(G19),G19,0)+IF(ISNUMBER(G20),G20,0)</f>
        <v>0</v>
      </c>
      <c r="N25" s="12">
        <f>IF(ISNUMBER(E17),E17,0)+IF(ISNUMBER(E19),E19,0)+IF(ISNUMBER(E20),E20,0)</f>
        <v>0</v>
      </c>
      <c r="O25" s="12">
        <f>M25-N25</f>
        <v>0</v>
      </c>
      <c r="P25" s="17">
        <f>L25*10000+O25*100+M25+0.004</f>
        <v>4.0000000000000001E-3</v>
      </c>
      <c r="Q25" s="17">
        <f>RANK(P25,P22:P25,0)</f>
        <v>1</v>
      </c>
    </row>
    <row r="27" spans="1:17" ht="20" customHeight="1" x14ac:dyDescent="0.2">
      <c r="A27" s="44" t="s">
        <v>41</v>
      </c>
      <c r="B27" s="45"/>
      <c r="C27" s="45"/>
      <c r="D27" s="45"/>
      <c r="E27" s="45"/>
      <c r="F27" s="45"/>
      <c r="G27" s="45"/>
      <c r="H27" s="45"/>
      <c r="I27" s="45"/>
      <c r="J27" s="45"/>
      <c r="K27" s="46" t="s">
        <v>42</v>
      </c>
      <c r="L27" s="45"/>
      <c r="M27" s="45"/>
      <c r="N27" s="45"/>
      <c r="O27" s="45"/>
      <c r="P27" s="45"/>
    </row>
    <row r="28" spans="1:17" ht="18" customHeight="1" x14ac:dyDescent="0.2">
      <c r="A28" s="8">
        <v>5</v>
      </c>
      <c r="B28" s="9" t="s">
        <v>39</v>
      </c>
      <c r="C28" s="8" t="s">
        <v>40</v>
      </c>
      <c r="D28" s="10" t="s">
        <v>43</v>
      </c>
      <c r="E28" s="64"/>
      <c r="F28" s="8" t="s">
        <v>7</v>
      </c>
      <c r="G28" s="64"/>
      <c r="H28" s="9" t="s">
        <v>44</v>
      </c>
      <c r="I28" s="11"/>
      <c r="J28" s="12"/>
    </row>
    <row r="29" spans="1:17" ht="18" customHeight="1" x14ac:dyDescent="0.2">
      <c r="A29" s="13">
        <v>6</v>
      </c>
      <c r="B29" s="14" t="s">
        <v>39</v>
      </c>
      <c r="C29" s="13" t="s">
        <v>40</v>
      </c>
      <c r="D29" s="15" t="s">
        <v>45</v>
      </c>
      <c r="E29" s="64"/>
      <c r="F29" s="13" t="s">
        <v>7</v>
      </c>
      <c r="G29" s="64"/>
      <c r="H29" s="14" t="s">
        <v>46</v>
      </c>
      <c r="I29" s="11"/>
      <c r="J29" s="12"/>
    </row>
    <row r="30" spans="1:17" ht="18" customHeight="1" x14ac:dyDescent="0.2">
      <c r="A30" s="8">
        <v>29</v>
      </c>
      <c r="B30" s="9" t="s">
        <v>47</v>
      </c>
      <c r="C30" s="8" t="s">
        <v>48</v>
      </c>
      <c r="D30" s="10" t="s">
        <v>43</v>
      </c>
      <c r="E30" s="64"/>
      <c r="F30" s="8" t="s">
        <v>7</v>
      </c>
      <c r="G30" s="64"/>
      <c r="H30" s="9" t="s">
        <v>45</v>
      </c>
      <c r="I30" s="11"/>
      <c r="J30" s="12"/>
    </row>
    <row r="31" spans="1:17" ht="18" customHeight="1" x14ac:dyDescent="0.2">
      <c r="A31" s="13">
        <v>30</v>
      </c>
      <c r="B31" s="14" t="s">
        <v>31</v>
      </c>
      <c r="C31" s="13" t="s">
        <v>40</v>
      </c>
      <c r="D31" s="15" t="s">
        <v>44</v>
      </c>
      <c r="E31" s="64"/>
      <c r="F31" s="13" t="s">
        <v>7</v>
      </c>
      <c r="G31" s="64"/>
      <c r="H31" s="14" t="s">
        <v>46</v>
      </c>
      <c r="I31" s="11"/>
      <c r="J31" s="12"/>
    </row>
    <row r="32" spans="1:17" ht="18" customHeight="1" x14ac:dyDescent="0.2">
      <c r="A32" s="8">
        <v>53</v>
      </c>
      <c r="B32" s="9" t="s">
        <v>36</v>
      </c>
      <c r="C32" s="8" t="s">
        <v>40</v>
      </c>
      <c r="D32" s="10" t="s">
        <v>43</v>
      </c>
      <c r="E32" s="64"/>
      <c r="F32" s="8" t="s">
        <v>7</v>
      </c>
      <c r="G32" s="64"/>
      <c r="H32" s="9" t="s">
        <v>46</v>
      </c>
      <c r="I32" s="11"/>
      <c r="J32" s="12"/>
    </row>
    <row r="33" spans="1:17" ht="18" customHeight="1" x14ac:dyDescent="0.2">
      <c r="A33" s="13">
        <v>54</v>
      </c>
      <c r="B33" s="14" t="s">
        <v>49</v>
      </c>
      <c r="C33" s="13" t="s">
        <v>28</v>
      </c>
      <c r="D33" s="15" t="s">
        <v>44</v>
      </c>
      <c r="E33" s="64"/>
      <c r="F33" s="13" t="s">
        <v>7</v>
      </c>
      <c r="G33" s="64"/>
      <c r="H33" s="14" t="s">
        <v>45</v>
      </c>
      <c r="I33" s="11"/>
      <c r="J33" s="12"/>
    </row>
    <row r="34" spans="1:17" ht="17" customHeight="1" x14ac:dyDescent="0.2">
      <c r="K34" s="16" t="s">
        <v>43</v>
      </c>
      <c r="L34" s="12">
        <f>IF(AND(ISNUMBER(E28),ISNUMBER(G28)),IF(E28&gt;G28,3,IF(E28=G28,1,0)),0)+IF(AND(ISNUMBER(E30),ISNUMBER(G30)),IF(E30&gt;G30,3,IF(E30=G30,1,0)),0)+IF(AND(ISNUMBER(E32),ISNUMBER(G32)),IF(E32&gt;G32,3,IF(E32=G32,1,0)),0)</f>
        <v>0</v>
      </c>
      <c r="M34" s="12">
        <f>IF(ISNUMBER(E28),E28,0)+IF(ISNUMBER(E30),E30,0)+IF(ISNUMBER(E32),E32,0)</f>
        <v>0</v>
      </c>
      <c r="N34" s="12">
        <f>IF(ISNUMBER(G28),G28,0)+IF(ISNUMBER(G30),G30,0)+IF(ISNUMBER(G32),G32,0)</f>
        <v>0</v>
      </c>
      <c r="O34" s="12">
        <f>M34-N34</f>
        <v>0</v>
      </c>
      <c r="P34" s="17">
        <f>L34*10000+O34*100+M34+0.001</f>
        <v>1E-3</v>
      </c>
      <c r="Q34" s="17">
        <f>RANK(P34,P34:P37,0)</f>
        <v>4</v>
      </c>
    </row>
    <row r="35" spans="1:17" ht="17" customHeight="1" x14ac:dyDescent="0.2">
      <c r="K35" s="16" t="s">
        <v>45</v>
      </c>
      <c r="L35" s="12">
        <f>IF(AND(ISNUMBER(E29),ISNUMBER(G29)),IF(E29&gt;G29,3,IF(E29=G29,1,0)),0)+IF(AND(ISNUMBER(E30),ISNUMBER(G30)),IF(G30&gt;E30,3,IF(E30=G30,1,0)),0)+IF(AND(ISNUMBER(E33),ISNUMBER(G33)),IF(G33&gt;E33,3,IF(E33=G33,1,0)),0)</f>
        <v>0</v>
      </c>
      <c r="M35" s="12">
        <f>IF(ISNUMBER(E29),E29,0)+IF(ISNUMBER(G30),G30,0)+IF(ISNUMBER(G33),G33,0)</f>
        <v>0</v>
      </c>
      <c r="N35" s="12">
        <f>IF(ISNUMBER(G29),G29,0)+IF(ISNUMBER(E30),E30,0)+IF(ISNUMBER(E33),E33,0)</f>
        <v>0</v>
      </c>
      <c r="O35" s="12">
        <f>M35-N35</f>
        <v>0</v>
      </c>
      <c r="P35" s="17">
        <f>L35*10000+O35*100+M35+0.002</f>
        <v>2E-3</v>
      </c>
      <c r="Q35" s="17">
        <f>RANK(P35,P34:P37,0)</f>
        <v>3</v>
      </c>
    </row>
    <row r="36" spans="1:17" ht="17" customHeight="1" x14ac:dyDescent="0.2">
      <c r="K36" s="16" t="s">
        <v>44</v>
      </c>
      <c r="L36" s="12">
        <f>IF(AND(ISNUMBER(E31),ISNUMBER(G31)),IF(E31&gt;G31,3,IF(E31=G31,1,0)),0)+IF(AND(ISNUMBER(E33),ISNUMBER(G33)),IF(E33&gt;G33,3,IF(E33=G33,1,0)),0)+IF(AND(ISNUMBER(E28),ISNUMBER(G28)),IF(G28&gt;E28,3,IF(E28=G28,1,0)),0)</f>
        <v>0</v>
      </c>
      <c r="M36" s="12">
        <f>IF(ISNUMBER(E31),E31,0)+IF(ISNUMBER(E33),E33,0)+IF(ISNUMBER(G28),G28,0)</f>
        <v>0</v>
      </c>
      <c r="N36" s="12">
        <f>IF(ISNUMBER(G31),G31,0)+IF(ISNUMBER(G33),G33,0)+IF(ISNUMBER(E28),E28,0)</f>
        <v>0</v>
      </c>
      <c r="O36" s="12">
        <f>M36-N36</f>
        <v>0</v>
      </c>
      <c r="P36" s="17">
        <f>L36*10000+O36*100+M36+0.003</f>
        <v>3.0000000000000001E-3</v>
      </c>
      <c r="Q36" s="17">
        <f>RANK(P36,P34:P37,0)</f>
        <v>2</v>
      </c>
    </row>
    <row r="37" spans="1:17" ht="17" customHeight="1" x14ac:dyDescent="0.2">
      <c r="K37" s="16" t="s">
        <v>46</v>
      </c>
      <c r="L37" s="12">
        <f>IF(AND(ISNUMBER(E29),ISNUMBER(G29)),IF(G29&gt;E29,3,IF(E29=G29,1,0)),0)+IF(AND(ISNUMBER(E31),ISNUMBER(G31)),IF(G31&gt;E31,3,IF(E31=G31,1,0)),0)+IF(AND(ISNUMBER(E32),ISNUMBER(G32)),IF(G32&gt;E32,3,IF(E32=G32,1,0)),0)</f>
        <v>0</v>
      </c>
      <c r="M37" s="12">
        <f>IF(ISNUMBER(G29),G29,0)+IF(ISNUMBER(G31),G31,0)+IF(ISNUMBER(G32),G32,0)</f>
        <v>0</v>
      </c>
      <c r="N37" s="12">
        <f>IF(ISNUMBER(E29),E29,0)+IF(ISNUMBER(E31),E31,0)+IF(ISNUMBER(E32),E32,0)</f>
        <v>0</v>
      </c>
      <c r="O37" s="12">
        <f>M37-N37</f>
        <v>0</v>
      </c>
      <c r="P37" s="17">
        <f>L37*10000+O37*100+M37+0.004</f>
        <v>4.0000000000000001E-3</v>
      </c>
      <c r="Q37" s="17">
        <f>RANK(P37,P34:P37,0)</f>
        <v>1</v>
      </c>
    </row>
    <row r="39" spans="1:17" ht="20" customHeight="1" x14ac:dyDescent="0.2">
      <c r="A39" s="44" t="s">
        <v>50</v>
      </c>
      <c r="B39" s="45"/>
      <c r="C39" s="45"/>
      <c r="D39" s="45"/>
      <c r="E39" s="45"/>
      <c r="F39" s="45"/>
      <c r="G39" s="45"/>
      <c r="H39" s="45"/>
      <c r="I39" s="45"/>
      <c r="J39" s="45"/>
      <c r="K39" s="46" t="s">
        <v>51</v>
      </c>
      <c r="L39" s="45"/>
      <c r="M39" s="45"/>
      <c r="N39" s="45"/>
      <c r="O39" s="45"/>
      <c r="P39" s="45"/>
    </row>
    <row r="40" spans="1:17" ht="18" customHeight="1" x14ac:dyDescent="0.2">
      <c r="A40" s="8">
        <v>7</v>
      </c>
      <c r="B40" s="9" t="s">
        <v>31</v>
      </c>
      <c r="C40" s="8" t="s">
        <v>24</v>
      </c>
      <c r="D40" s="10" t="s">
        <v>52</v>
      </c>
      <c r="E40" s="64"/>
      <c r="F40" s="8" t="s">
        <v>7</v>
      </c>
      <c r="G40" s="64"/>
      <c r="H40" s="9" t="s">
        <v>53</v>
      </c>
      <c r="I40" s="11"/>
      <c r="J40" s="12"/>
    </row>
    <row r="41" spans="1:17" ht="18" customHeight="1" x14ac:dyDescent="0.2">
      <c r="A41" s="13">
        <v>8</v>
      </c>
      <c r="B41" s="14" t="s">
        <v>47</v>
      </c>
      <c r="C41" s="13" t="s">
        <v>54</v>
      </c>
      <c r="D41" s="15" t="s">
        <v>55</v>
      </c>
      <c r="E41" s="64"/>
      <c r="F41" s="13" t="s">
        <v>7</v>
      </c>
      <c r="G41" s="64"/>
      <c r="H41" s="14" t="s">
        <v>56</v>
      </c>
      <c r="I41" s="11"/>
      <c r="J41" s="12"/>
    </row>
    <row r="42" spans="1:17" ht="18" customHeight="1" x14ac:dyDescent="0.2">
      <c r="A42" s="8">
        <v>31</v>
      </c>
      <c r="B42" s="9" t="s">
        <v>57</v>
      </c>
      <c r="C42" s="8" t="s">
        <v>20</v>
      </c>
      <c r="D42" s="10" t="s">
        <v>52</v>
      </c>
      <c r="E42" s="64"/>
      <c r="F42" s="8" t="s">
        <v>7</v>
      </c>
      <c r="G42" s="64"/>
      <c r="H42" s="9" t="s">
        <v>55</v>
      </c>
      <c r="I42" s="11"/>
      <c r="J42" s="12"/>
    </row>
    <row r="43" spans="1:17" ht="18" customHeight="1" x14ac:dyDescent="0.2">
      <c r="A43" s="13">
        <v>32</v>
      </c>
      <c r="B43" s="14" t="s">
        <v>57</v>
      </c>
      <c r="C43" s="13" t="s">
        <v>20</v>
      </c>
      <c r="D43" s="15" t="s">
        <v>53</v>
      </c>
      <c r="E43" s="64"/>
      <c r="F43" s="13" t="s">
        <v>7</v>
      </c>
      <c r="G43" s="64"/>
      <c r="H43" s="14" t="s">
        <v>56</v>
      </c>
      <c r="I43" s="11"/>
      <c r="J43" s="12"/>
    </row>
    <row r="44" spans="1:17" ht="18" customHeight="1" x14ac:dyDescent="0.2">
      <c r="A44" s="8">
        <v>55</v>
      </c>
      <c r="B44" s="9" t="s">
        <v>49</v>
      </c>
      <c r="C44" s="8" t="s">
        <v>58</v>
      </c>
      <c r="D44" s="10" t="s">
        <v>52</v>
      </c>
      <c r="E44" s="64"/>
      <c r="F44" s="8" t="s">
        <v>7</v>
      </c>
      <c r="G44" s="64"/>
      <c r="H44" s="9" t="s">
        <v>56</v>
      </c>
      <c r="I44" s="11"/>
      <c r="J44" s="12"/>
    </row>
    <row r="45" spans="1:17" ht="18" customHeight="1" x14ac:dyDescent="0.2">
      <c r="A45" s="13">
        <v>56</v>
      </c>
      <c r="B45" s="14" t="s">
        <v>36</v>
      </c>
      <c r="C45" s="13" t="s">
        <v>28</v>
      </c>
      <c r="D45" s="15" t="s">
        <v>53</v>
      </c>
      <c r="E45" s="64"/>
      <c r="F45" s="13" t="s">
        <v>7</v>
      </c>
      <c r="G45" s="64"/>
      <c r="H45" s="14" t="s">
        <v>55</v>
      </c>
      <c r="I45" s="11"/>
      <c r="J45" s="12"/>
    </row>
    <row r="46" spans="1:17" ht="17" customHeight="1" x14ac:dyDescent="0.2">
      <c r="K46" s="16" t="s">
        <v>52</v>
      </c>
      <c r="L46" s="12">
        <f>IF(AND(ISNUMBER(E40),ISNUMBER(G40)),IF(E40&gt;G40,3,IF(E40=G40,1,0)),0)+IF(AND(ISNUMBER(E42),ISNUMBER(G42)),IF(E42&gt;G42,3,IF(E42=G42,1,0)),0)+IF(AND(ISNUMBER(E44),ISNUMBER(G44)),IF(E44&gt;G44,3,IF(E44=G44,1,0)),0)</f>
        <v>0</v>
      </c>
      <c r="M46" s="12">
        <f>IF(ISNUMBER(E40),E40,0)+IF(ISNUMBER(E42),E42,0)+IF(ISNUMBER(E44),E44,0)</f>
        <v>0</v>
      </c>
      <c r="N46" s="12">
        <f>IF(ISNUMBER(G40),G40,0)+IF(ISNUMBER(G42),G42,0)+IF(ISNUMBER(G44),G44,0)</f>
        <v>0</v>
      </c>
      <c r="O46" s="12">
        <f>M46-N46</f>
        <v>0</v>
      </c>
      <c r="P46" s="17">
        <f>L46*10000+O46*100+M46+0.001</f>
        <v>1E-3</v>
      </c>
      <c r="Q46" s="17">
        <f>RANK(P46,P46:P49,0)</f>
        <v>4</v>
      </c>
    </row>
    <row r="47" spans="1:17" ht="17" customHeight="1" x14ac:dyDescent="0.2">
      <c r="K47" s="16" t="s">
        <v>55</v>
      </c>
      <c r="L47" s="12">
        <f>IF(AND(ISNUMBER(E41),ISNUMBER(G41)),IF(E41&gt;G41,3,IF(E41=G41,1,0)),0)+IF(AND(ISNUMBER(E42),ISNUMBER(G42)),IF(G42&gt;E42,3,IF(E42=G42,1,0)),0)+IF(AND(ISNUMBER(E45),ISNUMBER(G45)),IF(G45&gt;E45,3,IF(E45=G45,1,0)),0)</f>
        <v>0</v>
      </c>
      <c r="M47" s="12">
        <f>IF(ISNUMBER(E41),E41,0)+IF(ISNUMBER(G42),G42,0)+IF(ISNUMBER(G45),G45,0)</f>
        <v>0</v>
      </c>
      <c r="N47" s="12">
        <f>IF(ISNUMBER(G41),G41,0)+IF(ISNUMBER(E42),E42,0)+IF(ISNUMBER(E45),E45,0)</f>
        <v>0</v>
      </c>
      <c r="O47" s="12">
        <f>M47-N47</f>
        <v>0</v>
      </c>
      <c r="P47" s="17">
        <f>L47*10000+O47*100+M47+0.002</f>
        <v>2E-3</v>
      </c>
      <c r="Q47" s="17">
        <f>RANK(P47,P46:P49,0)</f>
        <v>3</v>
      </c>
    </row>
    <row r="48" spans="1:17" ht="17" customHeight="1" x14ac:dyDescent="0.2">
      <c r="K48" s="16" t="s">
        <v>53</v>
      </c>
      <c r="L48" s="12">
        <f>IF(AND(ISNUMBER(E43),ISNUMBER(G43)),IF(E43&gt;G43,3,IF(E43=G43,1,0)),0)+IF(AND(ISNUMBER(E45),ISNUMBER(G45)),IF(E45&gt;G45,3,IF(E45=G45,1,0)),0)+IF(AND(ISNUMBER(E40),ISNUMBER(G40)),IF(G40&gt;E40,3,IF(E40=G40,1,0)),0)</f>
        <v>0</v>
      </c>
      <c r="M48" s="12">
        <f>IF(ISNUMBER(E43),E43,0)+IF(ISNUMBER(E45),E45,0)+IF(ISNUMBER(G40),G40,0)</f>
        <v>0</v>
      </c>
      <c r="N48" s="12">
        <f>IF(ISNUMBER(G43),G43,0)+IF(ISNUMBER(G45),G45,0)+IF(ISNUMBER(E40),E40,0)</f>
        <v>0</v>
      </c>
      <c r="O48" s="12">
        <f>M48-N48</f>
        <v>0</v>
      </c>
      <c r="P48" s="17">
        <f>L48*10000+O48*100+M48+0.003</f>
        <v>3.0000000000000001E-3</v>
      </c>
      <c r="Q48" s="17">
        <f>RANK(P48,P46:P49,0)</f>
        <v>2</v>
      </c>
    </row>
    <row r="49" spans="1:17" ht="17" customHeight="1" x14ac:dyDescent="0.2">
      <c r="K49" s="16" t="s">
        <v>56</v>
      </c>
      <c r="L49" s="12">
        <f>IF(AND(ISNUMBER(E41),ISNUMBER(G41)),IF(G41&gt;E41,3,IF(E41=G41,1,0)),0)+IF(AND(ISNUMBER(E43),ISNUMBER(G43)),IF(G43&gt;E43,3,IF(E43=G43,1,0)),0)+IF(AND(ISNUMBER(E44),ISNUMBER(G44)),IF(G44&gt;E44,3,IF(E44=G44,1,0)),0)</f>
        <v>0</v>
      </c>
      <c r="M49" s="12">
        <f>IF(ISNUMBER(G41),G41,0)+IF(ISNUMBER(G43),G43,0)+IF(ISNUMBER(G44),G44,0)</f>
        <v>0</v>
      </c>
      <c r="N49" s="12">
        <f>IF(ISNUMBER(E41),E41,0)+IF(ISNUMBER(E43),E43,0)+IF(ISNUMBER(E44),E44,0)</f>
        <v>0</v>
      </c>
      <c r="O49" s="12">
        <f>M49-N49</f>
        <v>0</v>
      </c>
      <c r="P49" s="17">
        <f>L49*10000+O49*100+M49+0.004</f>
        <v>4.0000000000000001E-3</v>
      </c>
      <c r="Q49" s="17">
        <f>RANK(P49,P46:P49,0)</f>
        <v>1</v>
      </c>
    </row>
    <row r="51" spans="1:17" ht="20" customHeight="1" x14ac:dyDescent="0.2">
      <c r="A51" s="44" t="s">
        <v>59</v>
      </c>
      <c r="B51" s="45"/>
      <c r="C51" s="45"/>
      <c r="D51" s="45"/>
      <c r="E51" s="45"/>
      <c r="F51" s="45"/>
      <c r="G51" s="45"/>
      <c r="H51" s="45"/>
      <c r="I51" s="45"/>
      <c r="J51" s="45"/>
      <c r="K51" s="46" t="s">
        <v>60</v>
      </c>
      <c r="L51" s="45"/>
      <c r="M51" s="45"/>
      <c r="N51" s="45"/>
      <c r="O51" s="45"/>
      <c r="P51" s="45"/>
    </row>
    <row r="52" spans="1:17" ht="18" customHeight="1" x14ac:dyDescent="0.2">
      <c r="A52" s="8">
        <v>9</v>
      </c>
      <c r="B52" s="9" t="s">
        <v>47</v>
      </c>
      <c r="C52" s="8" t="s">
        <v>61</v>
      </c>
      <c r="D52" s="10" t="s">
        <v>62</v>
      </c>
      <c r="E52" s="64"/>
      <c r="F52" s="8" t="s">
        <v>7</v>
      </c>
      <c r="G52" s="64"/>
      <c r="H52" s="9" t="s">
        <v>63</v>
      </c>
      <c r="I52" s="11"/>
      <c r="J52" s="12"/>
    </row>
    <row r="53" spans="1:17" ht="18" customHeight="1" x14ac:dyDescent="0.2">
      <c r="A53" s="13">
        <v>10</v>
      </c>
      <c r="B53" s="14" t="s">
        <v>64</v>
      </c>
      <c r="C53" s="13" t="s">
        <v>65</v>
      </c>
      <c r="D53" s="15" t="s">
        <v>66</v>
      </c>
      <c r="E53" s="64"/>
      <c r="F53" s="13" t="s">
        <v>7</v>
      </c>
      <c r="G53" s="64"/>
      <c r="H53" s="14" t="s">
        <v>67</v>
      </c>
      <c r="I53" s="11"/>
      <c r="J53" s="12"/>
    </row>
    <row r="54" spans="1:17" ht="18" customHeight="1" x14ac:dyDescent="0.2">
      <c r="A54" s="8">
        <v>33</v>
      </c>
      <c r="B54" s="9" t="s">
        <v>49</v>
      </c>
      <c r="C54" s="8" t="s">
        <v>68</v>
      </c>
      <c r="D54" s="10" t="s">
        <v>62</v>
      </c>
      <c r="E54" s="64"/>
      <c r="F54" s="8" t="s">
        <v>7</v>
      </c>
      <c r="G54" s="64"/>
      <c r="H54" s="9" t="s">
        <v>66</v>
      </c>
      <c r="I54" s="11"/>
      <c r="J54" s="12"/>
    </row>
    <row r="55" spans="1:17" ht="18" customHeight="1" x14ac:dyDescent="0.2">
      <c r="A55" s="13">
        <v>34</v>
      </c>
      <c r="B55" s="14" t="s">
        <v>49</v>
      </c>
      <c r="C55" s="13" t="s">
        <v>69</v>
      </c>
      <c r="D55" s="15" t="s">
        <v>63</v>
      </c>
      <c r="E55" s="64"/>
      <c r="F55" s="13" t="s">
        <v>7</v>
      </c>
      <c r="G55" s="64"/>
      <c r="H55" s="14" t="s">
        <v>67</v>
      </c>
      <c r="I55" s="11"/>
      <c r="J55" s="12"/>
    </row>
    <row r="56" spans="1:17" ht="18" customHeight="1" x14ac:dyDescent="0.2">
      <c r="A56" s="8">
        <v>57</v>
      </c>
      <c r="B56" s="9" t="s">
        <v>27</v>
      </c>
      <c r="C56" s="8" t="s">
        <v>61</v>
      </c>
      <c r="D56" s="10" t="s">
        <v>62</v>
      </c>
      <c r="E56" s="64"/>
      <c r="F56" s="8" t="s">
        <v>7</v>
      </c>
      <c r="G56" s="64"/>
      <c r="H56" s="9" t="s">
        <v>67</v>
      </c>
      <c r="I56" s="11"/>
      <c r="J56" s="12"/>
    </row>
    <row r="57" spans="1:17" ht="18" customHeight="1" x14ac:dyDescent="0.2">
      <c r="A57" s="13">
        <v>58</v>
      </c>
      <c r="B57" s="14" t="s">
        <v>27</v>
      </c>
      <c r="C57" s="13" t="s">
        <v>61</v>
      </c>
      <c r="D57" s="15" t="s">
        <v>63</v>
      </c>
      <c r="E57" s="64"/>
      <c r="F57" s="13" t="s">
        <v>7</v>
      </c>
      <c r="G57" s="64"/>
      <c r="H57" s="14" t="s">
        <v>66</v>
      </c>
      <c r="I57" s="11"/>
      <c r="J57" s="12"/>
    </row>
    <row r="58" spans="1:17" ht="17" customHeight="1" x14ac:dyDescent="0.2">
      <c r="K58" s="16" t="s">
        <v>62</v>
      </c>
      <c r="L58" s="12">
        <f>IF(AND(ISNUMBER(E52),ISNUMBER(G52)),IF(E52&gt;G52,3,IF(E52=G52,1,0)),0)+IF(AND(ISNUMBER(E54),ISNUMBER(G54)),IF(E54&gt;G54,3,IF(E54=G54,1,0)),0)+IF(AND(ISNUMBER(E56),ISNUMBER(G56)),IF(E56&gt;G56,3,IF(E56=G56,1,0)),0)</f>
        <v>0</v>
      </c>
      <c r="M58" s="12">
        <f>IF(ISNUMBER(E52),E52,0)+IF(ISNUMBER(E54),E54,0)+IF(ISNUMBER(E56),E56,0)</f>
        <v>0</v>
      </c>
      <c r="N58" s="12">
        <f>IF(ISNUMBER(G52),G52,0)+IF(ISNUMBER(G54),G54,0)+IF(ISNUMBER(G56),G56,0)</f>
        <v>0</v>
      </c>
      <c r="O58" s="12">
        <f>M58-N58</f>
        <v>0</v>
      </c>
      <c r="P58" s="17">
        <f>L58*10000+O58*100+M58+0.001</f>
        <v>1E-3</v>
      </c>
      <c r="Q58" s="17">
        <f>RANK(P58,P58:P61,0)</f>
        <v>4</v>
      </c>
    </row>
    <row r="59" spans="1:17" ht="17" customHeight="1" x14ac:dyDescent="0.2">
      <c r="K59" s="16" t="s">
        <v>66</v>
      </c>
      <c r="L59" s="12">
        <f>IF(AND(ISNUMBER(E53),ISNUMBER(G53)),IF(E53&gt;G53,3,IF(E53=G53,1,0)),0)+IF(AND(ISNUMBER(E54),ISNUMBER(G54)),IF(G54&gt;E54,3,IF(E54=G54,1,0)),0)+IF(AND(ISNUMBER(E57),ISNUMBER(G57)),IF(G57&gt;E57,3,IF(E57=G57,1,0)),0)</f>
        <v>0</v>
      </c>
      <c r="M59" s="12">
        <f>IF(ISNUMBER(E53),E53,0)+IF(ISNUMBER(G54),G54,0)+IF(ISNUMBER(G57),G57,0)</f>
        <v>0</v>
      </c>
      <c r="N59" s="12">
        <f>IF(ISNUMBER(G53),G53,0)+IF(ISNUMBER(E54),E54,0)+IF(ISNUMBER(E57),E57,0)</f>
        <v>0</v>
      </c>
      <c r="O59" s="12">
        <f>M59-N59</f>
        <v>0</v>
      </c>
      <c r="P59" s="17">
        <f>L59*10000+O59*100+M59+0.002</f>
        <v>2E-3</v>
      </c>
      <c r="Q59" s="17">
        <f>RANK(P59,P58:P61,0)</f>
        <v>3</v>
      </c>
    </row>
    <row r="60" spans="1:17" ht="17" customHeight="1" x14ac:dyDescent="0.2">
      <c r="K60" s="16" t="s">
        <v>63</v>
      </c>
      <c r="L60" s="12">
        <f>IF(AND(ISNUMBER(E55),ISNUMBER(G55)),IF(E55&gt;G55,3,IF(E55=G55,1,0)),0)+IF(AND(ISNUMBER(E57),ISNUMBER(G57)),IF(E57&gt;G57,3,IF(E57=G57,1,0)),0)+IF(AND(ISNUMBER(E52),ISNUMBER(G52)),IF(G52&gt;E52,3,IF(E52=G52,1,0)),0)</f>
        <v>0</v>
      </c>
      <c r="M60" s="12">
        <f>IF(ISNUMBER(E55),E55,0)+IF(ISNUMBER(E57),E57,0)+IF(ISNUMBER(G52),G52,0)</f>
        <v>0</v>
      </c>
      <c r="N60" s="12">
        <f>IF(ISNUMBER(G55),G55,0)+IF(ISNUMBER(G57),G57,0)+IF(ISNUMBER(E52),E52,0)</f>
        <v>0</v>
      </c>
      <c r="O60" s="12">
        <f>M60-N60</f>
        <v>0</v>
      </c>
      <c r="P60" s="17">
        <f>L60*10000+O60*100+M60+0.003</f>
        <v>3.0000000000000001E-3</v>
      </c>
      <c r="Q60" s="17">
        <f>RANK(P60,P58:P61,0)</f>
        <v>2</v>
      </c>
    </row>
    <row r="61" spans="1:17" ht="17" customHeight="1" x14ac:dyDescent="0.2">
      <c r="K61" s="16" t="s">
        <v>67</v>
      </c>
      <c r="L61" s="12">
        <f>IF(AND(ISNUMBER(E53),ISNUMBER(G53)),IF(G53&gt;E53,3,IF(E53=G53,1,0)),0)+IF(AND(ISNUMBER(E55),ISNUMBER(G55)),IF(G55&gt;E55,3,IF(E55=G55,1,0)),0)+IF(AND(ISNUMBER(E56),ISNUMBER(G56)),IF(G56&gt;E56,3,IF(E56=G56,1,0)),0)</f>
        <v>0</v>
      </c>
      <c r="M61" s="12">
        <f>IF(ISNUMBER(G53),G53,0)+IF(ISNUMBER(G55),G55,0)+IF(ISNUMBER(G56),G56,0)</f>
        <v>0</v>
      </c>
      <c r="N61" s="12">
        <f>IF(ISNUMBER(E53),E53,0)+IF(ISNUMBER(E55),E55,0)+IF(ISNUMBER(E56),E56,0)</f>
        <v>0</v>
      </c>
      <c r="O61" s="12">
        <f>M61-N61</f>
        <v>0</v>
      </c>
      <c r="P61" s="17">
        <f>L61*10000+O61*100+M61+0.004</f>
        <v>4.0000000000000001E-3</v>
      </c>
      <c r="Q61" s="17">
        <f>RANK(P61,P58:P61,0)</f>
        <v>1</v>
      </c>
    </row>
    <row r="63" spans="1:17" ht="20" customHeight="1" x14ac:dyDescent="0.2">
      <c r="A63" s="44" t="s">
        <v>70</v>
      </c>
      <c r="B63" s="45"/>
      <c r="C63" s="45"/>
      <c r="D63" s="45"/>
      <c r="E63" s="45"/>
      <c r="F63" s="45"/>
      <c r="G63" s="45"/>
      <c r="H63" s="45"/>
      <c r="I63" s="45"/>
      <c r="J63" s="45"/>
      <c r="K63" s="46" t="s">
        <v>71</v>
      </c>
      <c r="L63" s="45"/>
      <c r="M63" s="45"/>
      <c r="N63" s="45"/>
      <c r="O63" s="45"/>
      <c r="P63" s="45"/>
    </row>
    <row r="64" spans="1:17" ht="18" customHeight="1" x14ac:dyDescent="0.2">
      <c r="A64" s="8">
        <v>11</v>
      </c>
      <c r="B64" s="9" t="s">
        <v>49</v>
      </c>
      <c r="C64" s="8" t="s">
        <v>61</v>
      </c>
      <c r="D64" s="10" t="s">
        <v>72</v>
      </c>
      <c r="E64" s="64"/>
      <c r="F64" s="8" t="s">
        <v>7</v>
      </c>
      <c r="G64" s="64"/>
      <c r="H64" s="9" t="s">
        <v>73</v>
      </c>
      <c r="I64" s="11"/>
      <c r="J64" s="12"/>
    </row>
    <row r="65" spans="1:17" ht="18" customHeight="1" x14ac:dyDescent="0.2">
      <c r="A65" s="13">
        <v>12</v>
      </c>
      <c r="B65" s="14" t="s">
        <v>74</v>
      </c>
      <c r="C65" s="13" t="s">
        <v>20</v>
      </c>
      <c r="D65" s="15" t="s">
        <v>75</v>
      </c>
      <c r="E65" s="64"/>
      <c r="F65" s="13" t="s">
        <v>7</v>
      </c>
      <c r="G65" s="64"/>
      <c r="H65" s="14" t="s">
        <v>76</v>
      </c>
      <c r="I65" s="11"/>
      <c r="J65" s="12"/>
    </row>
    <row r="66" spans="1:17" ht="18" customHeight="1" x14ac:dyDescent="0.2">
      <c r="A66" s="8">
        <v>35</v>
      </c>
      <c r="B66" s="9" t="s">
        <v>27</v>
      </c>
      <c r="C66" s="8" t="s">
        <v>69</v>
      </c>
      <c r="D66" s="10" t="s">
        <v>72</v>
      </c>
      <c r="E66" s="64"/>
      <c r="F66" s="8" t="s">
        <v>7</v>
      </c>
      <c r="G66" s="64"/>
      <c r="H66" s="9" t="s">
        <v>75</v>
      </c>
      <c r="I66" s="11"/>
      <c r="J66" s="12"/>
    </row>
    <row r="67" spans="1:17" ht="18" customHeight="1" x14ac:dyDescent="0.2">
      <c r="A67" s="13">
        <v>36</v>
      </c>
      <c r="B67" s="14" t="s">
        <v>27</v>
      </c>
      <c r="C67" s="13" t="s">
        <v>69</v>
      </c>
      <c r="D67" s="15" t="s">
        <v>73</v>
      </c>
      <c r="E67" s="64"/>
      <c r="F67" s="13" t="s">
        <v>7</v>
      </c>
      <c r="G67" s="64"/>
      <c r="H67" s="14" t="s">
        <v>76</v>
      </c>
      <c r="I67" s="11"/>
      <c r="J67" s="12"/>
    </row>
    <row r="68" spans="1:17" ht="18" customHeight="1" x14ac:dyDescent="0.2">
      <c r="A68" s="8">
        <v>59</v>
      </c>
      <c r="B68" s="9" t="s">
        <v>64</v>
      </c>
      <c r="C68" s="8" t="s">
        <v>58</v>
      </c>
      <c r="D68" s="10" t="s">
        <v>72</v>
      </c>
      <c r="E68" s="64"/>
      <c r="F68" s="8" t="s">
        <v>7</v>
      </c>
      <c r="G68" s="64"/>
      <c r="H68" s="9" t="s">
        <v>76</v>
      </c>
      <c r="I68" s="11"/>
      <c r="J68" s="12"/>
    </row>
    <row r="69" spans="1:17" ht="18" customHeight="1" x14ac:dyDescent="0.2">
      <c r="A69" s="13">
        <v>60</v>
      </c>
      <c r="B69" s="14" t="s">
        <v>47</v>
      </c>
      <c r="C69" s="13" t="s">
        <v>68</v>
      </c>
      <c r="D69" s="15" t="s">
        <v>73</v>
      </c>
      <c r="E69" s="64"/>
      <c r="F69" s="13" t="s">
        <v>7</v>
      </c>
      <c r="G69" s="64"/>
      <c r="H69" s="14" t="s">
        <v>75</v>
      </c>
      <c r="I69" s="11"/>
      <c r="J69" s="12"/>
    </row>
    <row r="70" spans="1:17" ht="17" customHeight="1" x14ac:dyDescent="0.2">
      <c r="K70" s="16" t="s">
        <v>72</v>
      </c>
      <c r="L70" s="12">
        <f>IF(AND(ISNUMBER(E64),ISNUMBER(G64)),IF(E64&gt;G64,3,IF(E64=G64,1,0)),0)+IF(AND(ISNUMBER(E66),ISNUMBER(G66)),IF(E66&gt;G66,3,IF(E66=G66,1,0)),0)+IF(AND(ISNUMBER(E68),ISNUMBER(G68)),IF(E68&gt;G68,3,IF(E68=G68,1,0)),0)</f>
        <v>0</v>
      </c>
      <c r="M70" s="12">
        <f>IF(ISNUMBER(E64),E64,0)+IF(ISNUMBER(E66),E66,0)+IF(ISNUMBER(E68),E68,0)</f>
        <v>0</v>
      </c>
      <c r="N70" s="12">
        <f>IF(ISNUMBER(G64),G64,0)+IF(ISNUMBER(G66),G66,0)+IF(ISNUMBER(G68),G68,0)</f>
        <v>0</v>
      </c>
      <c r="O70" s="12">
        <f>M70-N70</f>
        <v>0</v>
      </c>
      <c r="P70" s="17">
        <f>L70*10000+O70*100+M70+0.001</f>
        <v>1E-3</v>
      </c>
      <c r="Q70" s="17">
        <f>RANK(P70,P70:P73,0)</f>
        <v>4</v>
      </c>
    </row>
    <row r="71" spans="1:17" ht="17" customHeight="1" x14ac:dyDescent="0.2">
      <c r="K71" s="16" t="s">
        <v>75</v>
      </c>
      <c r="L71" s="12">
        <f>IF(AND(ISNUMBER(E65),ISNUMBER(G65)),IF(E65&gt;G65,3,IF(E65=G65,1,0)),0)+IF(AND(ISNUMBER(E66),ISNUMBER(G66)),IF(G66&gt;E66,3,IF(E66=G66,1,0)),0)+IF(AND(ISNUMBER(E69),ISNUMBER(G69)),IF(G69&gt;E69,3,IF(E69=G69,1,0)),0)</f>
        <v>0</v>
      </c>
      <c r="M71" s="12">
        <f>IF(ISNUMBER(E65),E65,0)+IF(ISNUMBER(G66),G66,0)+IF(ISNUMBER(G69),G69,0)</f>
        <v>0</v>
      </c>
      <c r="N71" s="12">
        <f>IF(ISNUMBER(G65),G65,0)+IF(ISNUMBER(E66),E66,0)+IF(ISNUMBER(E69),E69,0)</f>
        <v>0</v>
      </c>
      <c r="O71" s="12">
        <f>M71-N71</f>
        <v>0</v>
      </c>
      <c r="P71" s="17">
        <f>L71*10000+O71*100+M71+0.002</f>
        <v>2E-3</v>
      </c>
      <c r="Q71" s="17">
        <f>RANK(P71,P70:P73,0)</f>
        <v>3</v>
      </c>
    </row>
    <row r="72" spans="1:17" ht="17" customHeight="1" x14ac:dyDescent="0.2">
      <c r="K72" s="16" t="s">
        <v>73</v>
      </c>
      <c r="L72" s="12">
        <f>IF(AND(ISNUMBER(E67),ISNUMBER(G67)),IF(E67&gt;G67,3,IF(E67=G67,1,0)),0)+IF(AND(ISNUMBER(E69),ISNUMBER(G69)),IF(E69&gt;G69,3,IF(E69=G69,1,0)),0)+IF(AND(ISNUMBER(E64),ISNUMBER(G64)),IF(G64&gt;E64,3,IF(E64=G64,1,0)),0)</f>
        <v>0</v>
      </c>
      <c r="M72" s="12">
        <f>IF(ISNUMBER(E67),E67,0)+IF(ISNUMBER(E69),E69,0)+IF(ISNUMBER(G64),G64,0)</f>
        <v>0</v>
      </c>
      <c r="N72" s="12">
        <f>IF(ISNUMBER(G67),G67,0)+IF(ISNUMBER(G69),G69,0)+IF(ISNUMBER(E64),E64,0)</f>
        <v>0</v>
      </c>
      <c r="O72" s="12">
        <f>M72-N72</f>
        <v>0</v>
      </c>
      <c r="P72" s="17">
        <f>L72*10000+O72*100+M72+0.003</f>
        <v>3.0000000000000001E-3</v>
      </c>
      <c r="Q72" s="17">
        <f>RANK(P72,P70:P73,0)</f>
        <v>2</v>
      </c>
    </row>
    <row r="73" spans="1:17" ht="17" customHeight="1" x14ac:dyDescent="0.2">
      <c r="K73" s="16" t="s">
        <v>76</v>
      </c>
      <c r="L73" s="12">
        <f>IF(AND(ISNUMBER(E65),ISNUMBER(G65)),IF(G65&gt;E65,3,IF(E65=G65,1,0)),0)+IF(AND(ISNUMBER(E67),ISNUMBER(G67)),IF(G67&gt;E67,3,IF(E67=G67,1,0)),0)+IF(AND(ISNUMBER(E68),ISNUMBER(G68)),IF(G68&gt;E68,3,IF(E68=G68,1,0)),0)</f>
        <v>0</v>
      </c>
      <c r="M73" s="12">
        <f>IF(ISNUMBER(G65),G65,0)+IF(ISNUMBER(G67),G67,0)+IF(ISNUMBER(G68),G68,0)</f>
        <v>0</v>
      </c>
      <c r="N73" s="12">
        <f>IF(ISNUMBER(E65),E65,0)+IF(ISNUMBER(E67),E67,0)+IF(ISNUMBER(E68),E68,0)</f>
        <v>0</v>
      </c>
      <c r="O73" s="12">
        <f>M73-N73</f>
        <v>0</v>
      </c>
      <c r="P73" s="17">
        <f>L73*10000+O73*100+M73+0.004</f>
        <v>4.0000000000000001E-3</v>
      </c>
      <c r="Q73" s="17">
        <f>RANK(P73,P70:P73,0)</f>
        <v>1</v>
      </c>
    </row>
    <row r="75" spans="1:17" ht="20" customHeight="1" x14ac:dyDescent="0.2">
      <c r="A75" s="44" t="s">
        <v>77</v>
      </c>
      <c r="B75" s="45"/>
      <c r="C75" s="45"/>
      <c r="D75" s="45"/>
      <c r="E75" s="45"/>
      <c r="F75" s="45"/>
      <c r="G75" s="45"/>
      <c r="H75" s="45"/>
      <c r="I75" s="45"/>
      <c r="J75" s="45"/>
      <c r="K75" s="46" t="s">
        <v>78</v>
      </c>
      <c r="L75" s="45"/>
      <c r="M75" s="45"/>
      <c r="N75" s="45"/>
      <c r="O75" s="45"/>
      <c r="P75" s="45"/>
    </row>
    <row r="76" spans="1:17" ht="18" customHeight="1" x14ac:dyDescent="0.2">
      <c r="A76" s="8">
        <v>13</v>
      </c>
      <c r="B76" s="9" t="s">
        <v>74</v>
      </c>
      <c r="C76" s="8" t="s">
        <v>24</v>
      </c>
      <c r="D76" s="10" t="s">
        <v>79</v>
      </c>
      <c r="E76" s="64"/>
      <c r="F76" s="8" t="s">
        <v>7</v>
      </c>
      <c r="G76" s="64"/>
      <c r="H76" s="9" t="s">
        <v>80</v>
      </c>
      <c r="I76" s="11"/>
      <c r="J76" s="12"/>
    </row>
    <row r="77" spans="1:17" ht="18" customHeight="1" x14ac:dyDescent="0.2">
      <c r="A77" s="13">
        <v>14</v>
      </c>
      <c r="B77" s="14" t="s">
        <v>81</v>
      </c>
      <c r="C77" s="13" t="s">
        <v>28</v>
      </c>
      <c r="D77" s="15" t="s">
        <v>82</v>
      </c>
      <c r="E77" s="64"/>
      <c r="F77" s="13" t="s">
        <v>7</v>
      </c>
      <c r="G77" s="64"/>
      <c r="H77" s="14" t="s">
        <v>83</v>
      </c>
      <c r="I77" s="11"/>
      <c r="J77" s="12"/>
    </row>
    <row r="78" spans="1:17" ht="18" customHeight="1" x14ac:dyDescent="0.2">
      <c r="A78" s="8">
        <v>37</v>
      </c>
      <c r="B78" s="9" t="s">
        <v>64</v>
      </c>
      <c r="C78" s="8" t="s">
        <v>24</v>
      </c>
      <c r="D78" s="10" t="s">
        <v>79</v>
      </c>
      <c r="E78" s="64"/>
      <c r="F78" s="8" t="s">
        <v>7</v>
      </c>
      <c r="G78" s="64"/>
      <c r="H78" s="9" t="s">
        <v>82</v>
      </c>
      <c r="I78" s="11"/>
      <c r="J78" s="12"/>
    </row>
    <row r="79" spans="1:17" ht="18" customHeight="1" x14ac:dyDescent="0.2">
      <c r="A79" s="13">
        <v>38</v>
      </c>
      <c r="B79" s="14" t="s">
        <v>84</v>
      </c>
      <c r="C79" s="13" t="s">
        <v>28</v>
      </c>
      <c r="D79" s="15" t="s">
        <v>80</v>
      </c>
      <c r="E79" s="64"/>
      <c r="F79" s="13" t="s">
        <v>7</v>
      </c>
      <c r="G79" s="64"/>
      <c r="H79" s="14" t="s">
        <v>83</v>
      </c>
      <c r="I79" s="11"/>
      <c r="J79" s="12"/>
    </row>
    <row r="80" spans="1:17" ht="18" customHeight="1" x14ac:dyDescent="0.2">
      <c r="A80" s="8">
        <v>61</v>
      </c>
      <c r="B80" s="9" t="s">
        <v>85</v>
      </c>
      <c r="C80" s="8" t="s">
        <v>54</v>
      </c>
      <c r="D80" s="10" t="s">
        <v>79</v>
      </c>
      <c r="E80" s="64"/>
      <c r="F80" s="8" t="s">
        <v>7</v>
      </c>
      <c r="G80" s="64"/>
      <c r="H80" s="9" t="s">
        <v>83</v>
      </c>
      <c r="I80" s="11"/>
      <c r="J80" s="12"/>
    </row>
    <row r="81" spans="1:17" ht="18" customHeight="1" x14ac:dyDescent="0.2">
      <c r="A81" s="13">
        <v>62</v>
      </c>
      <c r="B81" s="14" t="s">
        <v>85</v>
      </c>
      <c r="C81" s="13" t="s">
        <v>54</v>
      </c>
      <c r="D81" s="15" t="s">
        <v>80</v>
      </c>
      <c r="E81" s="64"/>
      <c r="F81" s="13" t="s">
        <v>7</v>
      </c>
      <c r="G81" s="64"/>
      <c r="H81" s="14" t="s">
        <v>82</v>
      </c>
      <c r="I81" s="11"/>
      <c r="J81" s="12"/>
    </row>
    <row r="82" spans="1:17" ht="17" customHeight="1" x14ac:dyDescent="0.2">
      <c r="K82" s="16" t="s">
        <v>79</v>
      </c>
      <c r="L82" s="12">
        <f>IF(AND(ISNUMBER(E76),ISNUMBER(G76)),IF(E76&gt;G76,3,IF(E76=G76,1,0)),0)+IF(AND(ISNUMBER(E78),ISNUMBER(G78)),IF(E78&gt;G78,3,IF(E78=G78,1,0)),0)+IF(AND(ISNUMBER(E80),ISNUMBER(G80)),IF(E80&gt;G80,3,IF(E80=G80,1,0)),0)</f>
        <v>0</v>
      </c>
      <c r="M82" s="12">
        <f>IF(ISNUMBER(E76),E76,0)+IF(ISNUMBER(E78),E78,0)+IF(ISNUMBER(E80),E80,0)</f>
        <v>0</v>
      </c>
      <c r="N82" s="12">
        <f>IF(ISNUMBER(G76),G76,0)+IF(ISNUMBER(G78),G78,0)+IF(ISNUMBER(G80),G80,0)</f>
        <v>0</v>
      </c>
      <c r="O82" s="12">
        <f>M82-N82</f>
        <v>0</v>
      </c>
      <c r="P82" s="17">
        <f>L82*10000+O82*100+M82+0.001</f>
        <v>1E-3</v>
      </c>
      <c r="Q82" s="17">
        <f>RANK(P82,P82:P85,0)</f>
        <v>4</v>
      </c>
    </row>
    <row r="83" spans="1:17" ht="17" customHeight="1" x14ac:dyDescent="0.2">
      <c r="K83" s="16" t="s">
        <v>82</v>
      </c>
      <c r="L83" s="12">
        <f>IF(AND(ISNUMBER(E77),ISNUMBER(G77)),IF(E77&gt;G77,3,IF(E77=G77,1,0)),0)+IF(AND(ISNUMBER(E78),ISNUMBER(G78)),IF(G78&gt;E78,3,IF(E78=G78,1,0)),0)+IF(AND(ISNUMBER(E81),ISNUMBER(G81)),IF(G81&gt;E81,3,IF(E81=G81,1,0)),0)</f>
        <v>0</v>
      </c>
      <c r="M83" s="12">
        <f>IF(ISNUMBER(E77),E77,0)+IF(ISNUMBER(G78),G78,0)+IF(ISNUMBER(G81),G81,0)</f>
        <v>0</v>
      </c>
      <c r="N83" s="12">
        <f>IF(ISNUMBER(G77),G77,0)+IF(ISNUMBER(E78),E78,0)+IF(ISNUMBER(E81),E81,0)</f>
        <v>0</v>
      </c>
      <c r="O83" s="12">
        <f>M83-N83</f>
        <v>0</v>
      </c>
      <c r="P83" s="17">
        <f>L83*10000+O83*100+M83+0.002</f>
        <v>2E-3</v>
      </c>
      <c r="Q83" s="17">
        <f>RANK(P83,P82:P85,0)</f>
        <v>3</v>
      </c>
    </row>
    <row r="84" spans="1:17" ht="17" customHeight="1" x14ac:dyDescent="0.2">
      <c r="K84" s="16" t="s">
        <v>80</v>
      </c>
      <c r="L84" s="12">
        <f>IF(AND(ISNUMBER(E79),ISNUMBER(G79)),IF(E79&gt;G79,3,IF(E79=G79,1,0)),0)+IF(AND(ISNUMBER(E81),ISNUMBER(G81)),IF(E81&gt;G81,3,IF(E81=G81,1,0)),0)+IF(AND(ISNUMBER(E76),ISNUMBER(G76)),IF(G76&gt;E76,3,IF(E76=G76,1,0)),0)</f>
        <v>0</v>
      </c>
      <c r="M84" s="12">
        <f>IF(ISNUMBER(E79),E79,0)+IF(ISNUMBER(E81),E81,0)+IF(ISNUMBER(G76),G76,0)</f>
        <v>0</v>
      </c>
      <c r="N84" s="12">
        <f>IF(ISNUMBER(G79),G79,0)+IF(ISNUMBER(G81),G81,0)+IF(ISNUMBER(E76),E76,0)</f>
        <v>0</v>
      </c>
      <c r="O84" s="12">
        <f>M84-N84</f>
        <v>0</v>
      </c>
      <c r="P84" s="17">
        <f>L84*10000+O84*100+M84+0.003</f>
        <v>3.0000000000000001E-3</v>
      </c>
      <c r="Q84" s="17">
        <f>RANK(P84,P82:P85,0)</f>
        <v>2</v>
      </c>
    </row>
    <row r="85" spans="1:17" ht="17" customHeight="1" x14ac:dyDescent="0.2">
      <c r="K85" s="16" t="s">
        <v>83</v>
      </c>
      <c r="L85" s="12">
        <f>IF(AND(ISNUMBER(E77),ISNUMBER(G77)),IF(G77&gt;E77,3,IF(E77=G77,1,0)),0)+IF(AND(ISNUMBER(E79),ISNUMBER(G79)),IF(G79&gt;E79,3,IF(E79=G79,1,0)),0)+IF(AND(ISNUMBER(E80),ISNUMBER(G80)),IF(G80&gt;E80,3,IF(E80=G80,1,0)),0)</f>
        <v>0</v>
      </c>
      <c r="M85" s="12">
        <f>IF(ISNUMBER(G77),G77,0)+IF(ISNUMBER(G79),G79,0)+IF(ISNUMBER(G80),G80,0)</f>
        <v>0</v>
      </c>
      <c r="N85" s="12">
        <f>IF(ISNUMBER(E77),E77,0)+IF(ISNUMBER(E79),E79,0)+IF(ISNUMBER(E80),E80,0)</f>
        <v>0</v>
      </c>
      <c r="O85" s="12">
        <f>M85-N85</f>
        <v>0</v>
      </c>
      <c r="P85" s="17">
        <f>L85*10000+O85*100+M85+0.004</f>
        <v>4.0000000000000001E-3</v>
      </c>
      <c r="Q85" s="17">
        <f>RANK(P85,P82:P85,0)</f>
        <v>1</v>
      </c>
    </row>
    <row r="87" spans="1:17" ht="20" customHeight="1" x14ac:dyDescent="0.2">
      <c r="A87" s="44" t="s">
        <v>86</v>
      </c>
      <c r="B87" s="45"/>
      <c r="C87" s="45"/>
      <c r="D87" s="45"/>
      <c r="E87" s="45"/>
      <c r="F87" s="45"/>
      <c r="G87" s="45"/>
      <c r="H87" s="45"/>
      <c r="I87" s="45"/>
      <c r="J87" s="45"/>
      <c r="K87" s="46" t="s">
        <v>87</v>
      </c>
      <c r="L87" s="45"/>
      <c r="M87" s="45"/>
      <c r="N87" s="45"/>
      <c r="O87" s="45"/>
      <c r="P87" s="45"/>
    </row>
    <row r="88" spans="1:17" ht="18" customHeight="1" x14ac:dyDescent="0.2">
      <c r="A88" s="8">
        <v>15</v>
      </c>
      <c r="B88" s="9" t="s">
        <v>85</v>
      </c>
      <c r="C88" s="8" t="s">
        <v>65</v>
      </c>
      <c r="D88" s="10" t="s">
        <v>88</v>
      </c>
      <c r="E88" s="64"/>
      <c r="F88" s="8" t="s">
        <v>7</v>
      </c>
      <c r="G88" s="64"/>
      <c r="H88" s="9" t="s">
        <v>89</v>
      </c>
      <c r="I88" s="11"/>
      <c r="J88" s="12"/>
    </row>
    <row r="89" spans="1:17" ht="18" customHeight="1" x14ac:dyDescent="0.2">
      <c r="A89" s="13">
        <v>16</v>
      </c>
      <c r="B89" s="14" t="s">
        <v>85</v>
      </c>
      <c r="C89" s="13" t="s">
        <v>65</v>
      </c>
      <c r="D89" s="15" t="s">
        <v>90</v>
      </c>
      <c r="E89" s="64"/>
      <c r="F89" s="13" t="s">
        <v>7</v>
      </c>
      <c r="G89" s="64"/>
      <c r="H89" s="14" t="s">
        <v>91</v>
      </c>
      <c r="I89" s="11"/>
      <c r="J89" s="12"/>
    </row>
    <row r="90" spans="1:17" ht="18" customHeight="1" x14ac:dyDescent="0.2">
      <c r="A90" s="8">
        <v>39</v>
      </c>
      <c r="B90" s="9" t="s">
        <v>64</v>
      </c>
      <c r="C90" s="8" t="s">
        <v>30</v>
      </c>
      <c r="D90" s="10" t="s">
        <v>88</v>
      </c>
      <c r="E90" s="64"/>
      <c r="F90" s="8" t="s">
        <v>7</v>
      </c>
      <c r="G90" s="64"/>
      <c r="H90" s="9" t="s">
        <v>90</v>
      </c>
      <c r="I90" s="11"/>
      <c r="J90" s="12"/>
    </row>
    <row r="91" spans="1:17" ht="18" customHeight="1" x14ac:dyDescent="0.2">
      <c r="A91" s="13">
        <v>40</v>
      </c>
      <c r="B91" s="14" t="s">
        <v>64</v>
      </c>
      <c r="C91" s="13" t="s">
        <v>40</v>
      </c>
      <c r="D91" s="15" t="s">
        <v>89</v>
      </c>
      <c r="E91" s="64"/>
      <c r="F91" s="13" t="s">
        <v>7</v>
      </c>
      <c r="G91" s="64"/>
      <c r="H91" s="14" t="s">
        <v>91</v>
      </c>
      <c r="I91" s="11"/>
      <c r="J91" s="12"/>
    </row>
    <row r="92" spans="1:17" ht="18" customHeight="1" x14ac:dyDescent="0.2">
      <c r="A92" s="8">
        <v>63</v>
      </c>
      <c r="B92" s="9" t="s">
        <v>74</v>
      </c>
      <c r="C92" s="8" t="s">
        <v>40</v>
      </c>
      <c r="D92" s="10" t="s">
        <v>88</v>
      </c>
      <c r="E92" s="64"/>
      <c r="F92" s="8" t="s">
        <v>7</v>
      </c>
      <c r="G92" s="64"/>
      <c r="H92" s="9" t="s">
        <v>91</v>
      </c>
      <c r="I92" s="11"/>
      <c r="J92" s="12"/>
    </row>
    <row r="93" spans="1:17" ht="18" customHeight="1" x14ac:dyDescent="0.2">
      <c r="A93" s="13">
        <v>64</v>
      </c>
      <c r="B93" s="14" t="s">
        <v>74</v>
      </c>
      <c r="C93" s="13" t="s">
        <v>30</v>
      </c>
      <c r="D93" s="15" t="s">
        <v>89</v>
      </c>
      <c r="E93" s="64"/>
      <c r="F93" s="13" t="s">
        <v>7</v>
      </c>
      <c r="G93" s="64"/>
      <c r="H93" s="14" t="s">
        <v>90</v>
      </c>
      <c r="I93" s="11"/>
      <c r="J93" s="12"/>
    </row>
    <row r="94" spans="1:17" ht="17" customHeight="1" x14ac:dyDescent="0.2">
      <c r="K94" s="16" t="s">
        <v>88</v>
      </c>
      <c r="L94" s="12">
        <f>IF(AND(ISNUMBER(E88),ISNUMBER(G88)),IF(E88&gt;G88,3,IF(E88=G88,1,0)),0)+IF(AND(ISNUMBER(E90),ISNUMBER(G90)),IF(E90&gt;G90,3,IF(E90=G90,1,0)),0)+IF(AND(ISNUMBER(E92),ISNUMBER(G92)),IF(E92&gt;G92,3,IF(E92=G92,1,0)),0)</f>
        <v>0</v>
      </c>
      <c r="M94" s="12">
        <f>IF(ISNUMBER(E88),E88,0)+IF(ISNUMBER(E90),E90,0)+IF(ISNUMBER(E92),E92,0)</f>
        <v>0</v>
      </c>
      <c r="N94" s="12">
        <f>IF(ISNUMBER(G88),G88,0)+IF(ISNUMBER(G90),G90,0)+IF(ISNUMBER(G92),G92,0)</f>
        <v>0</v>
      </c>
      <c r="O94" s="12">
        <f>M94-N94</f>
        <v>0</v>
      </c>
      <c r="P94" s="17">
        <f>L94*10000+O94*100+M94+0.001</f>
        <v>1E-3</v>
      </c>
      <c r="Q94" s="17">
        <f>RANK(P94,P94:P97,0)</f>
        <v>4</v>
      </c>
    </row>
    <row r="95" spans="1:17" ht="17" customHeight="1" x14ac:dyDescent="0.2">
      <c r="K95" s="16" t="s">
        <v>90</v>
      </c>
      <c r="L95" s="12">
        <f>IF(AND(ISNUMBER(E89),ISNUMBER(G89)),IF(E89&gt;G89,3,IF(E89=G89,1,0)),0)+IF(AND(ISNUMBER(E90),ISNUMBER(G90)),IF(G90&gt;E90,3,IF(E90=G90,1,0)),0)+IF(AND(ISNUMBER(E93),ISNUMBER(G93)),IF(G93&gt;E93,3,IF(E93=G93,1,0)),0)</f>
        <v>0</v>
      </c>
      <c r="M95" s="12">
        <f>IF(ISNUMBER(E89),E89,0)+IF(ISNUMBER(G90),G90,0)+IF(ISNUMBER(G93),G93,0)</f>
        <v>0</v>
      </c>
      <c r="N95" s="12">
        <f>IF(ISNUMBER(G89),G89,0)+IF(ISNUMBER(E90),E90,0)+IF(ISNUMBER(E93),E93,0)</f>
        <v>0</v>
      </c>
      <c r="O95" s="12">
        <f>M95-N95</f>
        <v>0</v>
      </c>
      <c r="P95" s="17">
        <f>L95*10000+O95*100+M95+0.002</f>
        <v>2E-3</v>
      </c>
      <c r="Q95" s="17">
        <f>RANK(P95,P94:P97,0)</f>
        <v>3</v>
      </c>
    </row>
    <row r="96" spans="1:17" ht="17" customHeight="1" x14ac:dyDescent="0.2">
      <c r="K96" s="16" t="s">
        <v>89</v>
      </c>
      <c r="L96" s="12">
        <f>IF(AND(ISNUMBER(E91),ISNUMBER(G91)),IF(E91&gt;G91,3,IF(E91=G91,1,0)),0)+IF(AND(ISNUMBER(E93),ISNUMBER(G93)),IF(E93&gt;G93,3,IF(E93=G93,1,0)),0)+IF(AND(ISNUMBER(E88),ISNUMBER(G88)),IF(G88&gt;E88,3,IF(E88=G88,1,0)),0)</f>
        <v>0</v>
      </c>
      <c r="M96" s="12">
        <f>IF(ISNUMBER(E91),E91,0)+IF(ISNUMBER(E93),E93,0)+IF(ISNUMBER(G88),G88,0)</f>
        <v>0</v>
      </c>
      <c r="N96" s="12">
        <f>IF(ISNUMBER(G91),G91,0)+IF(ISNUMBER(G93),G93,0)+IF(ISNUMBER(E88),E88,0)</f>
        <v>0</v>
      </c>
      <c r="O96" s="12">
        <f>M96-N96</f>
        <v>0</v>
      </c>
      <c r="P96" s="17">
        <f>L96*10000+O96*100+M96+0.003</f>
        <v>3.0000000000000001E-3</v>
      </c>
      <c r="Q96" s="17">
        <f>RANK(P96,P94:P97,0)</f>
        <v>2</v>
      </c>
    </row>
    <row r="97" spans="1:17" ht="17" customHeight="1" x14ac:dyDescent="0.2">
      <c r="K97" s="16" t="s">
        <v>91</v>
      </c>
      <c r="L97" s="12">
        <f>IF(AND(ISNUMBER(E89),ISNUMBER(G89)),IF(G89&gt;E89,3,IF(E89=G89,1,0)),0)+IF(AND(ISNUMBER(E91),ISNUMBER(G91)),IF(G91&gt;E91,3,IF(E91=G91,1,0)),0)+IF(AND(ISNUMBER(E92),ISNUMBER(G92)),IF(G92&gt;E92,3,IF(E92=G92,1,0)),0)</f>
        <v>0</v>
      </c>
      <c r="M97" s="12">
        <f>IF(ISNUMBER(G89),G89,0)+IF(ISNUMBER(G91),G91,0)+IF(ISNUMBER(G92),G92,0)</f>
        <v>0</v>
      </c>
      <c r="N97" s="12">
        <f>IF(ISNUMBER(E89),E89,0)+IF(ISNUMBER(E91),E91,0)+IF(ISNUMBER(E92),E92,0)</f>
        <v>0</v>
      </c>
      <c r="O97" s="12">
        <f>M97-N97</f>
        <v>0</v>
      </c>
      <c r="P97" s="17">
        <f>L97*10000+O97*100+M97+0.004</f>
        <v>4.0000000000000001E-3</v>
      </c>
      <c r="Q97" s="17">
        <f>RANK(P97,P94:P97,0)</f>
        <v>1</v>
      </c>
    </row>
    <row r="99" spans="1:17" ht="20" customHeight="1" x14ac:dyDescent="0.2">
      <c r="A99" s="44" t="s">
        <v>92</v>
      </c>
      <c r="B99" s="45"/>
      <c r="C99" s="45"/>
      <c r="D99" s="45"/>
      <c r="E99" s="45"/>
      <c r="F99" s="45"/>
      <c r="G99" s="45"/>
      <c r="H99" s="45"/>
      <c r="I99" s="45"/>
      <c r="J99" s="45"/>
      <c r="K99" s="46" t="s">
        <v>93</v>
      </c>
      <c r="L99" s="45"/>
      <c r="M99" s="45"/>
      <c r="N99" s="45"/>
      <c r="O99" s="45"/>
      <c r="P99" s="45"/>
    </row>
    <row r="100" spans="1:17" ht="18" customHeight="1" x14ac:dyDescent="0.2">
      <c r="A100" s="8">
        <v>17</v>
      </c>
      <c r="B100" s="9" t="s">
        <v>84</v>
      </c>
      <c r="C100" s="8" t="s">
        <v>94</v>
      </c>
      <c r="D100" s="10" t="s">
        <v>95</v>
      </c>
      <c r="E100" s="64"/>
      <c r="F100" s="8" t="s">
        <v>7</v>
      </c>
      <c r="G100" s="64"/>
      <c r="H100" s="9" t="s">
        <v>96</v>
      </c>
      <c r="I100" s="11"/>
      <c r="J100" s="12"/>
    </row>
    <row r="101" spans="1:17" ht="18" customHeight="1" x14ac:dyDescent="0.2">
      <c r="A101" s="13">
        <v>18</v>
      </c>
      <c r="B101" s="14" t="s">
        <v>97</v>
      </c>
      <c r="C101" s="13" t="s">
        <v>65</v>
      </c>
      <c r="D101" s="15" t="s">
        <v>98</v>
      </c>
      <c r="E101" s="64"/>
      <c r="F101" s="13" t="s">
        <v>7</v>
      </c>
      <c r="G101" s="64"/>
      <c r="H101" s="14" t="s">
        <v>99</v>
      </c>
      <c r="I101" s="11"/>
      <c r="J101" s="12"/>
    </row>
    <row r="102" spans="1:17" ht="18" customHeight="1" x14ac:dyDescent="0.2">
      <c r="A102" s="8">
        <v>41</v>
      </c>
      <c r="B102" s="9" t="s">
        <v>57</v>
      </c>
      <c r="C102" s="8" t="s">
        <v>24</v>
      </c>
      <c r="D102" s="10" t="s">
        <v>95</v>
      </c>
      <c r="E102" s="64"/>
      <c r="F102" s="8" t="s">
        <v>7</v>
      </c>
      <c r="G102" s="64"/>
      <c r="H102" s="9" t="s">
        <v>98</v>
      </c>
      <c r="I102" s="11"/>
      <c r="J102" s="12"/>
    </row>
    <row r="103" spans="1:17" ht="18" customHeight="1" x14ac:dyDescent="0.2">
      <c r="A103" s="13">
        <v>42</v>
      </c>
      <c r="B103" s="14" t="s">
        <v>57</v>
      </c>
      <c r="C103" s="13" t="s">
        <v>24</v>
      </c>
      <c r="D103" s="15" t="s">
        <v>96</v>
      </c>
      <c r="E103" s="64"/>
      <c r="F103" s="13" t="s">
        <v>7</v>
      </c>
      <c r="G103" s="64"/>
      <c r="H103" s="14" t="s">
        <v>99</v>
      </c>
      <c r="I103" s="11"/>
      <c r="J103" s="12"/>
    </row>
    <row r="104" spans="1:17" ht="18" customHeight="1" x14ac:dyDescent="0.2">
      <c r="A104" s="8">
        <v>65</v>
      </c>
      <c r="B104" s="9" t="s">
        <v>81</v>
      </c>
      <c r="C104" s="8" t="s">
        <v>24</v>
      </c>
      <c r="D104" s="10" t="s">
        <v>95</v>
      </c>
      <c r="E104" s="64"/>
      <c r="F104" s="8" t="s">
        <v>7</v>
      </c>
      <c r="G104" s="64"/>
      <c r="H104" s="9" t="s">
        <v>99</v>
      </c>
      <c r="I104" s="11"/>
      <c r="J104" s="12"/>
    </row>
    <row r="105" spans="1:17" ht="18" customHeight="1" x14ac:dyDescent="0.2">
      <c r="A105" s="13">
        <v>66</v>
      </c>
      <c r="B105" s="14" t="s">
        <v>81</v>
      </c>
      <c r="C105" s="13" t="s">
        <v>40</v>
      </c>
      <c r="D105" s="15" t="s">
        <v>96</v>
      </c>
      <c r="E105" s="64"/>
      <c r="F105" s="13" t="s">
        <v>7</v>
      </c>
      <c r="G105" s="64"/>
      <c r="H105" s="14" t="s">
        <v>98</v>
      </c>
      <c r="I105" s="11"/>
      <c r="J105" s="12"/>
    </row>
    <row r="106" spans="1:17" ht="17" customHeight="1" x14ac:dyDescent="0.2">
      <c r="K106" s="16" t="s">
        <v>95</v>
      </c>
      <c r="L106" s="12">
        <f>IF(AND(ISNUMBER(E100),ISNUMBER(G100)),IF(E100&gt;G100,3,IF(E100=G100,1,0)),0)+IF(AND(ISNUMBER(E102),ISNUMBER(G102)),IF(E102&gt;G102,3,IF(E102=G102,1,0)),0)+IF(AND(ISNUMBER(E104),ISNUMBER(G104)),IF(E104&gt;G104,3,IF(E104=G104,1,0)),0)</f>
        <v>0</v>
      </c>
      <c r="M106" s="12">
        <f>IF(ISNUMBER(E100),E100,0)+IF(ISNUMBER(E102),E102,0)+IF(ISNUMBER(E104),E104,0)</f>
        <v>0</v>
      </c>
      <c r="N106" s="12">
        <f>IF(ISNUMBER(G100),G100,0)+IF(ISNUMBER(G102),G102,0)+IF(ISNUMBER(G104),G104,0)</f>
        <v>0</v>
      </c>
      <c r="O106" s="12">
        <f>M106-N106</f>
        <v>0</v>
      </c>
      <c r="P106" s="17">
        <f>L106*10000+O106*100+M106+0.001</f>
        <v>1E-3</v>
      </c>
      <c r="Q106" s="17">
        <f>RANK(P106,P106:P109,0)</f>
        <v>4</v>
      </c>
    </row>
    <row r="107" spans="1:17" ht="17" customHeight="1" x14ac:dyDescent="0.2">
      <c r="K107" s="16" t="s">
        <v>98</v>
      </c>
      <c r="L107" s="12">
        <f>IF(AND(ISNUMBER(E101),ISNUMBER(G101)),IF(E101&gt;G101,3,IF(E101=G101,1,0)),0)+IF(AND(ISNUMBER(E102),ISNUMBER(G102)),IF(G102&gt;E102,3,IF(E102=G102,1,0)),0)+IF(AND(ISNUMBER(E105),ISNUMBER(G105)),IF(G105&gt;E105,3,IF(E105=G105,1,0)),0)</f>
        <v>0</v>
      </c>
      <c r="M107" s="12">
        <f>IF(ISNUMBER(E101),E101,0)+IF(ISNUMBER(G102),G102,0)+IF(ISNUMBER(G105),G105,0)</f>
        <v>0</v>
      </c>
      <c r="N107" s="12">
        <f>IF(ISNUMBER(G101),G101,0)+IF(ISNUMBER(E102),E102,0)+IF(ISNUMBER(E105),E105,0)</f>
        <v>0</v>
      </c>
      <c r="O107" s="12">
        <f>M107-N107</f>
        <v>0</v>
      </c>
      <c r="P107" s="17">
        <f>L107*10000+O107*100+M107+0.002</f>
        <v>2E-3</v>
      </c>
      <c r="Q107" s="17">
        <f>RANK(P107,P106:P109,0)</f>
        <v>3</v>
      </c>
    </row>
    <row r="108" spans="1:17" ht="17" customHeight="1" x14ac:dyDescent="0.2">
      <c r="K108" s="16" t="s">
        <v>96</v>
      </c>
      <c r="L108" s="12">
        <f>IF(AND(ISNUMBER(E103),ISNUMBER(G103)),IF(E103&gt;G103,3,IF(E103=G103,1,0)),0)+IF(AND(ISNUMBER(E105),ISNUMBER(G105)),IF(E105&gt;G105,3,IF(E105=G105,1,0)),0)+IF(AND(ISNUMBER(E100),ISNUMBER(G100)),IF(G100&gt;E100,3,IF(E100=G100,1,0)),0)</f>
        <v>0</v>
      </c>
      <c r="M108" s="12">
        <f>IF(ISNUMBER(E103),E103,0)+IF(ISNUMBER(E105),E105,0)+IF(ISNUMBER(G100),G100,0)</f>
        <v>0</v>
      </c>
      <c r="N108" s="12">
        <f>IF(ISNUMBER(G103),G103,0)+IF(ISNUMBER(G105),G105,0)+IF(ISNUMBER(E100),E100,0)</f>
        <v>0</v>
      </c>
      <c r="O108" s="12">
        <f>M108-N108</f>
        <v>0</v>
      </c>
      <c r="P108" s="17">
        <f>L108*10000+O108*100+M108+0.003</f>
        <v>3.0000000000000001E-3</v>
      </c>
      <c r="Q108" s="17">
        <f>RANK(P108,P106:P109,0)</f>
        <v>2</v>
      </c>
    </row>
    <row r="109" spans="1:17" ht="17" customHeight="1" x14ac:dyDescent="0.2">
      <c r="K109" s="16" t="s">
        <v>99</v>
      </c>
      <c r="L109" s="12">
        <f>IF(AND(ISNUMBER(E101),ISNUMBER(G101)),IF(G101&gt;E101,3,IF(E101=G101,1,0)),0)+IF(AND(ISNUMBER(E103),ISNUMBER(G103)),IF(G103&gt;E103,3,IF(E103=G103,1,0)),0)+IF(AND(ISNUMBER(E104),ISNUMBER(G104)),IF(G104&gt;E104,3,IF(E104=G104,1,0)),0)</f>
        <v>0</v>
      </c>
      <c r="M109" s="12">
        <f>IF(ISNUMBER(G101),G101,0)+IF(ISNUMBER(G103),G103,0)+IF(ISNUMBER(G104),G104,0)</f>
        <v>0</v>
      </c>
      <c r="N109" s="12">
        <f>IF(ISNUMBER(E101),E101,0)+IF(ISNUMBER(E103),E103,0)+IF(ISNUMBER(E104),E104,0)</f>
        <v>0</v>
      </c>
      <c r="O109" s="12">
        <f>M109-N109</f>
        <v>0</v>
      </c>
      <c r="P109" s="17">
        <f>L109*10000+O109*100+M109+0.004</f>
        <v>4.0000000000000001E-3</v>
      </c>
      <c r="Q109" s="17">
        <f>RANK(P109,P106:P109,0)</f>
        <v>1</v>
      </c>
    </row>
    <row r="111" spans="1:17" ht="20" customHeight="1" x14ac:dyDescent="0.2">
      <c r="A111" s="44" t="s">
        <v>100</v>
      </c>
      <c r="B111" s="45"/>
      <c r="C111" s="45"/>
      <c r="D111" s="45"/>
      <c r="E111" s="45"/>
      <c r="F111" s="45"/>
      <c r="G111" s="45"/>
      <c r="H111" s="45"/>
      <c r="I111" s="45"/>
      <c r="J111" s="45"/>
      <c r="K111" s="46" t="s">
        <v>101</v>
      </c>
      <c r="L111" s="45"/>
      <c r="M111" s="45"/>
      <c r="N111" s="45"/>
      <c r="O111" s="45"/>
      <c r="P111" s="45"/>
    </row>
    <row r="112" spans="1:17" ht="18" customHeight="1" x14ac:dyDescent="0.2">
      <c r="A112" s="8">
        <v>19</v>
      </c>
      <c r="B112" s="9" t="s">
        <v>102</v>
      </c>
      <c r="C112" s="8" t="s">
        <v>28</v>
      </c>
      <c r="D112" s="10" t="s">
        <v>103</v>
      </c>
      <c r="E112" s="64"/>
      <c r="F112" s="8" t="s">
        <v>7</v>
      </c>
      <c r="G112" s="64"/>
      <c r="H112" s="9" t="s">
        <v>104</v>
      </c>
      <c r="I112" s="11"/>
      <c r="J112" s="12"/>
    </row>
    <row r="113" spans="1:17" ht="18" customHeight="1" x14ac:dyDescent="0.2">
      <c r="A113" s="13">
        <v>20</v>
      </c>
      <c r="B113" s="14" t="s">
        <v>102</v>
      </c>
      <c r="C113" s="13" t="s">
        <v>58</v>
      </c>
      <c r="D113" s="15" t="s">
        <v>105</v>
      </c>
      <c r="E113" s="64"/>
      <c r="F113" s="13" t="s">
        <v>7</v>
      </c>
      <c r="G113" s="64"/>
      <c r="H113" s="14" t="s">
        <v>106</v>
      </c>
      <c r="I113" s="11"/>
      <c r="J113" s="12"/>
    </row>
    <row r="114" spans="1:17" ht="18" customHeight="1" x14ac:dyDescent="0.2">
      <c r="A114" s="8">
        <v>43</v>
      </c>
      <c r="B114" s="9" t="s">
        <v>107</v>
      </c>
      <c r="C114" s="8" t="s">
        <v>20</v>
      </c>
      <c r="D114" s="10" t="s">
        <v>103</v>
      </c>
      <c r="E114" s="64"/>
      <c r="F114" s="8" t="s">
        <v>7</v>
      </c>
      <c r="G114" s="64"/>
      <c r="H114" s="9" t="s">
        <v>105</v>
      </c>
      <c r="I114" s="11"/>
      <c r="J114" s="12"/>
    </row>
    <row r="115" spans="1:17" ht="18" customHeight="1" x14ac:dyDescent="0.2">
      <c r="A115" s="13">
        <v>44</v>
      </c>
      <c r="B115" s="14" t="s">
        <v>107</v>
      </c>
      <c r="C115" s="13" t="s">
        <v>20</v>
      </c>
      <c r="D115" s="15" t="s">
        <v>104</v>
      </c>
      <c r="E115" s="64"/>
      <c r="F115" s="13" t="s">
        <v>7</v>
      </c>
      <c r="G115" s="64"/>
      <c r="H115" s="14" t="s">
        <v>106</v>
      </c>
      <c r="I115" s="11"/>
      <c r="J115" s="12"/>
    </row>
    <row r="116" spans="1:17" ht="18" customHeight="1" x14ac:dyDescent="0.2">
      <c r="A116" s="8">
        <v>67</v>
      </c>
      <c r="B116" s="9" t="s">
        <v>97</v>
      </c>
      <c r="C116" s="8" t="s">
        <v>54</v>
      </c>
      <c r="D116" s="10" t="s">
        <v>103</v>
      </c>
      <c r="E116" s="64"/>
      <c r="F116" s="8" t="s">
        <v>7</v>
      </c>
      <c r="G116" s="64"/>
      <c r="H116" s="9" t="s">
        <v>106</v>
      </c>
      <c r="I116" s="11"/>
      <c r="J116" s="12"/>
    </row>
    <row r="117" spans="1:17" ht="18" customHeight="1" x14ac:dyDescent="0.2">
      <c r="A117" s="13">
        <v>68</v>
      </c>
      <c r="B117" s="14" t="s">
        <v>84</v>
      </c>
      <c r="C117" s="13" t="s">
        <v>68</v>
      </c>
      <c r="D117" s="15" t="s">
        <v>104</v>
      </c>
      <c r="E117" s="64"/>
      <c r="F117" s="13" t="s">
        <v>7</v>
      </c>
      <c r="G117" s="64"/>
      <c r="H117" s="14" t="s">
        <v>105</v>
      </c>
      <c r="I117" s="11"/>
      <c r="J117" s="12"/>
    </row>
    <row r="118" spans="1:17" ht="17" customHeight="1" x14ac:dyDescent="0.2">
      <c r="K118" s="16" t="s">
        <v>103</v>
      </c>
      <c r="L118" s="12">
        <f>IF(AND(ISNUMBER(E112),ISNUMBER(G112)),IF(E112&gt;G112,3,IF(E112=G112,1,0)),0)+IF(AND(ISNUMBER(E114),ISNUMBER(G114)),IF(E114&gt;G114,3,IF(E114=G114,1,0)),0)+IF(AND(ISNUMBER(E116),ISNUMBER(G116)),IF(E116&gt;G116,3,IF(E116=G116,1,0)),0)</f>
        <v>0</v>
      </c>
      <c r="M118" s="12">
        <f>IF(ISNUMBER(E112),E112,0)+IF(ISNUMBER(E114),E114,0)+IF(ISNUMBER(E116),E116,0)</f>
        <v>0</v>
      </c>
      <c r="N118" s="12">
        <f>IF(ISNUMBER(G112),G112,0)+IF(ISNUMBER(G114),G114,0)+IF(ISNUMBER(G116),G116,0)</f>
        <v>0</v>
      </c>
      <c r="O118" s="12">
        <f>M118-N118</f>
        <v>0</v>
      </c>
      <c r="P118" s="17">
        <f>L118*10000+O118*100+M118+0.001</f>
        <v>1E-3</v>
      </c>
      <c r="Q118" s="17">
        <f>RANK(P118,P118:P121,0)</f>
        <v>4</v>
      </c>
    </row>
    <row r="119" spans="1:17" ht="17" customHeight="1" x14ac:dyDescent="0.2">
      <c r="K119" s="16" t="s">
        <v>105</v>
      </c>
      <c r="L119" s="12">
        <f>IF(AND(ISNUMBER(E113),ISNUMBER(G113)),IF(E113&gt;G113,3,IF(E113=G113,1,0)),0)+IF(AND(ISNUMBER(E114),ISNUMBER(G114)),IF(G114&gt;E114,3,IF(E114=G114,1,0)),0)+IF(AND(ISNUMBER(E117),ISNUMBER(G117)),IF(G117&gt;E117,3,IF(E117=G117,1,0)),0)</f>
        <v>0</v>
      </c>
      <c r="M119" s="12">
        <f>IF(ISNUMBER(E113),E113,0)+IF(ISNUMBER(G114),G114,0)+IF(ISNUMBER(G117),G117,0)</f>
        <v>0</v>
      </c>
      <c r="N119" s="12">
        <f>IF(ISNUMBER(G113),G113,0)+IF(ISNUMBER(E114),E114,0)+IF(ISNUMBER(E117),E117,0)</f>
        <v>0</v>
      </c>
      <c r="O119" s="12">
        <f>M119-N119</f>
        <v>0</v>
      </c>
      <c r="P119" s="17">
        <f>L119*10000+O119*100+M119+0.002</f>
        <v>2E-3</v>
      </c>
      <c r="Q119" s="17">
        <f>RANK(P119,P118:P121,0)</f>
        <v>3</v>
      </c>
    </row>
    <row r="120" spans="1:17" ht="17" customHeight="1" x14ac:dyDescent="0.2">
      <c r="K120" s="16" t="s">
        <v>104</v>
      </c>
      <c r="L120" s="12">
        <f>IF(AND(ISNUMBER(E115),ISNUMBER(G115)),IF(E115&gt;G115,3,IF(E115=G115,1,0)),0)+IF(AND(ISNUMBER(E117),ISNUMBER(G117)),IF(E117&gt;G117,3,IF(E117=G117,1,0)),0)+IF(AND(ISNUMBER(E112),ISNUMBER(G112)),IF(G112&gt;E112,3,IF(E112=G112,1,0)),0)</f>
        <v>0</v>
      </c>
      <c r="M120" s="12">
        <f>IF(ISNUMBER(E115),E115,0)+IF(ISNUMBER(E117),E117,0)+IF(ISNUMBER(G112),G112,0)</f>
        <v>0</v>
      </c>
      <c r="N120" s="12">
        <f>IF(ISNUMBER(G115),G115,0)+IF(ISNUMBER(G117),G117,0)+IF(ISNUMBER(E112),E112,0)</f>
        <v>0</v>
      </c>
      <c r="O120" s="12">
        <f>M120-N120</f>
        <v>0</v>
      </c>
      <c r="P120" s="17">
        <f>L120*10000+O120*100+M120+0.003</f>
        <v>3.0000000000000001E-3</v>
      </c>
      <c r="Q120" s="17">
        <f>RANK(P120,P118:P121,0)</f>
        <v>2</v>
      </c>
    </row>
    <row r="121" spans="1:17" ht="17" customHeight="1" x14ac:dyDescent="0.2">
      <c r="K121" s="16" t="s">
        <v>106</v>
      </c>
      <c r="L121" s="12">
        <f>IF(AND(ISNUMBER(E113),ISNUMBER(G113)),IF(G113&gt;E113,3,IF(E113=G113,1,0)),0)+IF(AND(ISNUMBER(E115),ISNUMBER(G115)),IF(G115&gt;E115,3,IF(E115=G115,1,0)),0)+IF(AND(ISNUMBER(E116),ISNUMBER(G116)),IF(G116&gt;E116,3,IF(E116=G116,1,0)),0)</f>
        <v>0</v>
      </c>
      <c r="M121" s="12">
        <f>IF(ISNUMBER(G113),G113,0)+IF(ISNUMBER(G115),G115,0)+IF(ISNUMBER(G116),G116,0)</f>
        <v>0</v>
      </c>
      <c r="N121" s="12">
        <f>IF(ISNUMBER(E113),E113,0)+IF(ISNUMBER(E115),E115,0)+IF(ISNUMBER(E116),E116,0)</f>
        <v>0</v>
      </c>
      <c r="O121" s="12">
        <f>M121-N121</f>
        <v>0</v>
      </c>
      <c r="P121" s="17">
        <f>L121*10000+O121*100+M121+0.004</f>
        <v>4.0000000000000001E-3</v>
      </c>
      <c r="Q121" s="17">
        <f>RANK(P121,P118:P121,0)</f>
        <v>1</v>
      </c>
    </row>
    <row r="123" spans="1:17" ht="20" customHeight="1" x14ac:dyDescent="0.2">
      <c r="A123" s="44" t="s">
        <v>108</v>
      </c>
      <c r="B123" s="45"/>
      <c r="C123" s="45"/>
      <c r="D123" s="45"/>
      <c r="E123" s="45"/>
      <c r="F123" s="45"/>
      <c r="G123" s="45"/>
      <c r="H123" s="45"/>
      <c r="I123" s="45"/>
      <c r="J123" s="45"/>
      <c r="K123" s="46" t="s">
        <v>109</v>
      </c>
      <c r="L123" s="45"/>
      <c r="M123" s="45"/>
      <c r="N123" s="45"/>
      <c r="O123" s="45"/>
      <c r="P123" s="45"/>
    </row>
    <row r="124" spans="1:17" ht="18" customHeight="1" x14ac:dyDescent="0.2">
      <c r="A124" s="8">
        <v>21</v>
      </c>
      <c r="B124" s="9" t="s">
        <v>85</v>
      </c>
      <c r="C124" s="8" t="s">
        <v>110</v>
      </c>
      <c r="D124" s="10" t="s">
        <v>111</v>
      </c>
      <c r="E124" s="64"/>
      <c r="F124" s="8" t="s">
        <v>7</v>
      </c>
      <c r="G124" s="64"/>
      <c r="H124" s="9" t="s">
        <v>112</v>
      </c>
      <c r="I124" s="11"/>
      <c r="J124" s="12"/>
    </row>
    <row r="125" spans="1:17" ht="18" customHeight="1" x14ac:dyDescent="0.2">
      <c r="A125" s="13">
        <v>22</v>
      </c>
      <c r="B125" s="14" t="s">
        <v>85</v>
      </c>
      <c r="C125" s="13" t="s">
        <v>110</v>
      </c>
      <c r="D125" s="15" t="s">
        <v>113</v>
      </c>
      <c r="E125" s="64"/>
      <c r="F125" s="13" t="s">
        <v>7</v>
      </c>
      <c r="G125" s="64"/>
      <c r="H125" s="14" t="s">
        <v>114</v>
      </c>
      <c r="I125" s="11"/>
      <c r="J125" s="12"/>
    </row>
    <row r="126" spans="1:17" ht="18" customHeight="1" x14ac:dyDescent="0.2">
      <c r="A126" s="8">
        <v>45</v>
      </c>
      <c r="B126" s="9" t="s">
        <v>39</v>
      </c>
      <c r="C126" s="8" t="s">
        <v>20</v>
      </c>
      <c r="D126" s="10" t="s">
        <v>111</v>
      </c>
      <c r="E126" s="64"/>
      <c r="F126" s="8" t="s">
        <v>7</v>
      </c>
      <c r="G126" s="64"/>
      <c r="H126" s="9" t="s">
        <v>113</v>
      </c>
      <c r="I126" s="11"/>
      <c r="J126" s="12"/>
    </row>
    <row r="127" spans="1:17" ht="18" customHeight="1" x14ac:dyDescent="0.2">
      <c r="A127" s="13">
        <v>46</v>
      </c>
      <c r="B127" s="14" t="s">
        <v>97</v>
      </c>
      <c r="C127" s="13" t="s">
        <v>68</v>
      </c>
      <c r="D127" s="15" t="s">
        <v>112</v>
      </c>
      <c r="E127" s="64"/>
      <c r="F127" s="13" t="s">
        <v>7</v>
      </c>
      <c r="G127" s="64"/>
      <c r="H127" s="14" t="s">
        <v>114</v>
      </c>
      <c r="I127" s="11"/>
      <c r="J127" s="12"/>
    </row>
    <row r="128" spans="1:17" ht="18" customHeight="1" x14ac:dyDescent="0.2">
      <c r="A128" s="8">
        <v>69</v>
      </c>
      <c r="B128" s="9" t="s">
        <v>29</v>
      </c>
      <c r="C128" s="8" t="s">
        <v>20</v>
      </c>
      <c r="D128" s="10" t="s">
        <v>111</v>
      </c>
      <c r="E128" s="64"/>
      <c r="F128" s="8" t="s">
        <v>7</v>
      </c>
      <c r="G128" s="64"/>
      <c r="H128" s="9" t="s">
        <v>114</v>
      </c>
      <c r="I128" s="11"/>
      <c r="J128" s="12"/>
    </row>
    <row r="129" spans="1:17" ht="18" customHeight="1" x14ac:dyDescent="0.2">
      <c r="A129" s="13">
        <v>70</v>
      </c>
      <c r="B129" s="14" t="s">
        <v>102</v>
      </c>
      <c r="C129" s="13" t="s">
        <v>68</v>
      </c>
      <c r="D129" s="15" t="s">
        <v>112</v>
      </c>
      <c r="E129" s="64"/>
      <c r="F129" s="13" t="s">
        <v>7</v>
      </c>
      <c r="G129" s="64"/>
      <c r="H129" s="14" t="s">
        <v>113</v>
      </c>
      <c r="I129" s="11"/>
      <c r="J129" s="12"/>
    </row>
    <row r="130" spans="1:17" ht="17" customHeight="1" x14ac:dyDescent="0.2">
      <c r="K130" s="16" t="s">
        <v>111</v>
      </c>
      <c r="L130" s="12">
        <f>IF(AND(ISNUMBER(E124),ISNUMBER(G124)),IF(E124&gt;G124,3,IF(E124=G124,1,0)),0)+IF(AND(ISNUMBER(E126),ISNUMBER(G126)),IF(E126&gt;G126,3,IF(E126=G126,1,0)),0)+IF(AND(ISNUMBER(E128),ISNUMBER(G128)),IF(E128&gt;G128,3,IF(E128=G128,1,0)),0)</f>
        <v>0</v>
      </c>
      <c r="M130" s="12">
        <f>IF(ISNUMBER(E124),E124,0)+IF(ISNUMBER(E126),E126,0)+IF(ISNUMBER(E128),E128,0)</f>
        <v>0</v>
      </c>
      <c r="N130" s="12">
        <f>IF(ISNUMBER(G124),G124,0)+IF(ISNUMBER(G126),G126,0)+IF(ISNUMBER(G128),G128,0)</f>
        <v>0</v>
      </c>
      <c r="O130" s="12">
        <f>M130-N130</f>
        <v>0</v>
      </c>
      <c r="P130" s="17">
        <f>L130*10000+O130*100+M130+0.001</f>
        <v>1E-3</v>
      </c>
      <c r="Q130" s="17">
        <f>RANK(P130,P130:P133,0)</f>
        <v>4</v>
      </c>
    </row>
    <row r="131" spans="1:17" ht="17" customHeight="1" x14ac:dyDescent="0.2">
      <c r="K131" s="16" t="s">
        <v>113</v>
      </c>
      <c r="L131" s="12">
        <f>IF(AND(ISNUMBER(E125),ISNUMBER(G125)),IF(E125&gt;G125,3,IF(E125=G125,1,0)),0)+IF(AND(ISNUMBER(E126),ISNUMBER(G126)),IF(G126&gt;E126,3,IF(E126=G126,1,0)),0)+IF(AND(ISNUMBER(E129),ISNUMBER(G129)),IF(G129&gt;E129,3,IF(E129=G129,1,0)),0)</f>
        <v>0</v>
      </c>
      <c r="M131" s="12">
        <f>IF(ISNUMBER(E125),E125,0)+IF(ISNUMBER(G126),G126,0)+IF(ISNUMBER(G129),G129,0)</f>
        <v>0</v>
      </c>
      <c r="N131" s="12">
        <f>IF(ISNUMBER(G125),G125,0)+IF(ISNUMBER(E126),E126,0)+IF(ISNUMBER(E129),E129,0)</f>
        <v>0</v>
      </c>
      <c r="O131" s="12">
        <f>M131-N131</f>
        <v>0</v>
      </c>
      <c r="P131" s="17">
        <f>L131*10000+O131*100+M131+0.002</f>
        <v>2E-3</v>
      </c>
      <c r="Q131" s="17">
        <f>RANK(P131,P130:P133,0)</f>
        <v>3</v>
      </c>
    </row>
    <row r="132" spans="1:17" ht="17" customHeight="1" x14ac:dyDescent="0.2">
      <c r="K132" s="16" t="s">
        <v>112</v>
      </c>
      <c r="L132" s="12">
        <f>IF(AND(ISNUMBER(E127),ISNUMBER(G127)),IF(E127&gt;G127,3,IF(E127=G127,1,0)),0)+IF(AND(ISNUMBER(E129),ISNUMBER(G129)),IF(E129&gt;G129,3,IF(E129=G129,1,0)),0)+IF(AND(ISNUMBER(E124),ISNUMBER(G124)),IF(G124&gt;E124,3,IF(E124=G124,1,0)),0)</f>
        <v>0</v>
      </c>
      <c r="M132" s="12">
        <f>IF(ISNUMBER(E127),E127,0)+IF(ISNUMBER(E129),E129,0)+IF(ISNUMBER(G124),G124,0)</f>
        <v>0</v>
      </c>
      <c r="N132" s="12">
        <f>IF(ISNUMBER(G127),G127,0)+IF(ISNUMBER(G129),G129,0)+IF(ISNUMBER(E124),E124,0)</f>
        <v>0</v>
      </c>
      <c r="O132" s="12">
        <f>M132-N132</f>
        <v>0</v>
      </c>
      <c r="P132" s="17">
        <f>L132*10000+O132*100+M132+0.003</f>
        <v>3.0000000000000001E-3</v>
      </c>
      <c r="Q132" s="17">
        <f>RANK(P132,P130:P133,0)</f>
        <v>2</v>
      </c>
    </row>
    <row r="133" spans="1:17" ht="17" customHeight="1" x14ac:dyDescent="0.2">
      <c r="K133" s="16" t="s">
        <v>114</v>
      </c>
      <c r="L133" s="12">
        <f>IF(AND(ISNUMBER(E125),ISNUMBER(G125)),IF(G125&gt;E125,3,IF(E125=G125,1,0)),0)+IF(AND(ISNUMBER(E127),ISNUMBER(G127)),IF(G127&gt;E127,3,IF(E127=G127,1,0)),0)+IF(AND(ISNUMBER(E128),ISNUMBER(G128)),IF(G128&gt;E128,3,IF(E128=G128,1,0)),0)</f>
        <v>0</v>
      </c>
      <c r="M133" s="12">
        <f>IF(ISNUMBER(G125),G125,0)+IF(ISNUMBER(G127),G127,0)+IF(ISNUMBER(G128),G128,0)</f>
        <v>0</v>
      </c>
      <c r="N133" s="12">
        <f>IF(ISNUMBER(E125),E125,0)+IF(ISNUMBER(E127),E127,0)+IF(ISNUMBER(E128),E128,0)</f>
        <v>0</v>
      </c>
      <c r="O133" s="12">
        <f>M133-N133</f>
        <v>0</v>
      </c>
      <c r="P133" s="17">
        <f>L133*10000+O133*100+M133+0.004</f>
        <v>4.0000000000000001E-3</v>
      </c>
      <c r="Q133" s="17">
        <f>RANK(P133,P130:P133,0)</f>
        <v>1</v>
      </c>
    </row>
    <row r="135" spans="1:17" ht="20" customHeight="1" x14ac:dyDescent="0.2">
      <c r="A135" s="44" t="s">
        <v>115</v>
      </c>
      <c r="B135" s="45"/>
      <c r="C135" s="45"/>
      <c r="D135" s="45"/>
      <c r="E135" s="45"/>
      <c r="F135" s="45"/>
      <c r="G135" s="45"/>
      <c r="H135" s="45"/>
      <c r="I135" s="45"/>
      <c r="J135" s="45"/>
      <c r="K135" s="46" t="s">
        <v>116</v>
      </c>
      <c r="L135" s="45"/>
      <c r="M135" s="45"/>
      <c r="N135" s="45"/>
      <c r="O135" s="45"/>
      <c r="P135" s="45"/>
    </row>
    <row r="136" spans="1:17" ht="18" customHeight="1" x14ac:dyDescent="0.2">
      <c r="A136" s="8">
        <v>23</v>
      </c>
      <c r="B136" s="9" t="s">
        <v>85</v>
      </c>
      <c r="C136" s="8" t="s">
        <v>94</v>
      </c>
      <c r="D136" s="10" t="s">
        <v>117</v>
      </c>
      <c r="E136" s="64"/>
      <c r="F136" s="8" t="s">
        <v>7</v>
      </c>
      <c r="G136" s="64"/>
      <c r="H136" s="9" t="s">
        <v>118</v>
      </c>
      <c r="I136" s="11"/>
      <c r="J136" s="12"/>
    </row>
    <row r="137" spans="1:17" ht="18" customHeight="1" x14ac:dyDescent="0.2">
      <c r="A137" s="13">
        <v>24</v>
      </c>
      <c r="B137" s="14" t="s">
        <v>85</v>
      </c>
      <c r="C137" s="13" t="s">
        <v>94</v>
      </c>
      <c r="D137" s="15" t="s">
        <v>119</v>
      </c>
      <c r="E137" s="64"/>
      <c r="F137" s="13" t="s">
        <v>7</v>
      </c>
      <c r="G137" s="64"/>
      <c r="H137" s="14" t="s">
        <v>120</v>
      </c>
      <c r="I137" s="11"/>
      <c r="J137" s="12"/>
    </row>
    <row r="138" spans="1:17" ht="18" customHeight="1" x14ac:dyDescent="0.2">
      <c r="A138" s="8">
        <v>47</v>
      </c>
      <c r="B138" s="9" t="s">
        <v>102</v>
      </c>
      <c r="C138" s="8" t="s">
        <v>61</v>
      </c>
      <c r="D138" s="10" t="s">
        <v>117</v>
      </c>
      <c r="E138" s="64"/>
      <c r="F138" s="8" t="s">
        <v>7</v>
      </c>
      <c r="G138" s="64"/>
      <c r="H138" s="9" t="s">
        <v>119</v>
      </c>
      <c r="I138" s="11"/>
      <c r="J138" s="12"/>
    </row>
    <row r="139" spans="1:17" ht="18" customHeight="1" x14ac:dyDescent="0.2">
      <c r="A139" s="13">
        <v>48</v>
      </c>
      <c r="B139" s="14" t="s">
        <v>102</v>
      </c>
      <c r="C139" s="13" t="s">
        <v>69</v>
      </c>
      <c r="D139" s="15" t="s">
        <v>118</v>
      </c>
      <c r="E139" s="64"/>
      <c r="F139" s="13" t="s">
        <v>7</v>
      </c>
      <c r="G139" s="64"/>
      <c r="H139" s="14" t="s">
        <v>120</v>
      </c>
      <c r="I139" s="11"/>
      <c r="J139" s="12"/>
    </row>
    <row r="140" spans="1:17" ht="18" customHeight="1" x14ac:dyDescent="0.2">
      <c r="A140" s="8">
        <v>71</v>
      </c>
      <c r="B140" s="9" t="s">
        <v>97</v>
      </c>
      <c r="C140" s="8" t="s">
        <v>69</v>
      </c>
      <c r="D140" s="10" t="s">
        <v>117</v>
      </c>
      <c r="E140" s="64"/>
      <c r="F140" s="8" t="s">
        <v>7</v>
      </c>
      <c r="G140" s="64"/>
      <c r="H140" s="9" t="s">
        <v>120</v>
      </c>
      <c r="I140" s="11"/>
      <c r="J140" s="12"/>
    </row>
    <row r="141" spans="1:17" ht="18" customHeight="1" x14ac:dyDescent="0.2">
      <c r="A141" s="13">
        <v>72</v>
      </c>
      <c r="B141" s="14" t="s">
        <v>97</v>
      </c>
      <c r="C141" s="13" t="s">
        <v>61</v>
      </c>
      <c r="D141" s="15" t="s">
        <v>118</v>
      </c>
      <c r="E141" s="64"/>
      <c r="F141" s="13" t="s">
        <v>7</v>
      </c>
      <c r="G141" s="64"/>
      <c r="H141" s="14" t="s">
        <v>119</v>
      </c>
      <c r="I141" s="11"/>
      <c r="J141" s="12"/>
    </row>
    <row r="142" spans="1:17" ht="17" customHeight="1" x14ac:dyDescent="0.2">
      <c r="K142" s="16" t="s">
        <v>117</v>
      </c>
      <c r="L142" s="12">
        <f>IF(AND(ISNUMBER(E136),ISNUMBER(G136)),IF(E136&gt;G136,3,IF(E136=G136,1,0)),0)+IF(AND(ISNUMBER(E138),ISNUMBER(G138)),IF(E138&gt;G138,3,IF(E138=G138,1,0)),0)+IF(AND(ISNUMBER(E140),ISNUMBER(G140)),IF(E140&gt;G140,3,IF(E140=G140,1,0)),0)</f>
        <v>0</v>
      </c>
      <c r="M142" s="12">
        <f>IF(ISNUMBER(E136),E136,0)+IF(ISNUMBER(E138),E138,0)+IF(ISNUMBER(E140),E140,0)</f>
        <v>0</v>
      </c>
      <c r="N142" s="12">
        <f>IF(ISNUMBER(G136),G136,0)+IF(ISNUMBER(G138),G138,0)+IF(ISNUMBER(G140),G140,0)</f>
        <v>0</v>
      </c>
      <c r="O142" s="12">
        <f>M142-N142</f>
        <v>0</v>
      </c>
      <c r="P142" s="17">
        <f>L142*10000+O142*100+M142+0.001</f>
        <v>1E-3</v>
      </c>
      <c r="Q142" s="17">
        <f>RANK(P142,P142:P145,0)</f>
        <v>4</v>
      </c>
    </row>
    <row r="143" spans="1:17" ht="17" customHeight="1" x14ac:dyDescent="0.2">
      <c r="K143" s="16" t="s">
        <v>119</v>
      </c>
      <c r="L143" s="12">
        <f>IF(AND(ISNUMBER(E137),ISNUMBER(G137)),IF(E137&gt;G137,3,IF(E137=G137,1,0)),0)+IF(AND(ISNUMBER(E138),ISNUMBER(G138)),IF(G138&gt;E138,3,IF(E138=G138,1,0)),0)+IF(AND(ISNUMBER(E141),ISNUMBER(G141)),IF(G141&gt;E141,3,IF(E141=G141,1,0)),0)</f>
        <v>0</v>
      </c>
      <c r="M143" s="12">
        <f>IF(ISNUMBER(E137),E137,0)+IF(ISNUMBER(G138),G138,0)+IF(ISNUMBER(G141),G141,0)</f>
        <v>0</v>
      </c>
      <c r="N143" s="12">
        <f>IF(ISNUMBER(G137),G137,0)+IF(ISNUMBER(E138),E138,0)+IF(ISNUMBER(E141),E141,0)</f>
        <v>0</v>
      </c>
      <c r="O143" s="12">
        <f>M143-N143</f>
        <v>0</v>
      </c>
      <c r="P143" s="17">
        <f>L143*10000+O143*100+M143+0.002</f>
        <v>2E-3</v>
      </c>
      <c r="Q143" s="17">
        <f>RANK(P143,P142:P145,0)</f>
        <v>3</v>
      </c>
    </row>
    <row r="144" spans="1:17" ht="17" customHeight="1" x14ac:dyDescent="0.2">
      <c r="K144" s="16" t="s">
        <v>118</v>
      </c>
      <c r="L144" s="12">
        <f>IF(AND(ISNUMBER(E139),ISNUMBER(G139)),IF(E139&gt;G139,3,IF(E139=G139,1,0)),0)+IF(AND(ISNUMBER(E141),ISNUMBER(G141)),IF(E141&gt;G141,3,IF(E141=G141,1,0)),0)+IF(AND(ISNUMBER(E136),ISNUMBER(G136)),IF(G136&gt;E136,3,IF(E136=G136,1,0)),0)</f>
        <v>0</v>
      </c>
      <c r="M144" s="12">
        <f>IF(ISNUMBER(E139),E139,0)+IF(ISNUMBER(E141),E141,0)+IF(ISNUMBER(G136),G136,0)</f>
        <v>0</v>
      </c>
      <c r="N144" s="12">
        <f>IF(ISNUMBER(G139),G139,0)+IF(ISNUMBER(G141),G141,0)+IF(ISNUMBER(E136),E136,0)</f>
        <v>0</v>
      </c>
      <c r="O144" s="12">
        <f>M144-N144</f>
        <v>0</v>
      </c>
      <c r="P144" s="17">
        <f>L144*10000+O144*100+M144+0.003</f>
        <v>3.0000000000000001E-3</v>
      </c>
      <c r="Q144" s="17">
        <f>RANK(P144,P142:P145,0)</f>
        <v>2</v>
      </c>
    </row>
    <row r="145" spans="1:17" ht="17" customHeight="1" x14ac:dyDescent="0.2">
      <c r="K145" s="16" t="s">
        <v>120</v>
      </c>
      <c r="L145" s="12">
        <f>IF(AND(ISNUMBER(E137),ISNUMBER(G137)),IF(G137&gt;E137,3,IF(E137=G137,1,0)),0)+IF(AND(ISNUMBER(E139),ISNUMBER(G139)),IF(G139&gt;E139,3,IF(E139=G139,1,0)),0)+IF(AND(ISNUMBER(E140),ISNUMBER(G140)),IF(G140&gt;E140,3,IF(E140=G140,1,0)),0)</f>
        <v>0</v>
      </c>
      <c r="M145" s="12">
        <f>IF(ISNUMBER(G137),G137,0)+IF(ISNUMBER(G139),G139,0)+IF(ISNUMBER(G140),G140,0)</f>
        <v>0</v>
      </c>
      <c r="N145" s="12">
        <f>IF(ISNUMBER(E137),E137,0)+IF(ISNUMBER(E139),E139,0)+IF(ISNUMBER(E140),E140,0)</f>
        <v>0</v>
      </c>
      <c r="O145" s="12">
        <f>M145-N145</f>
        <v>0</v>
      </c>
      <c r="P145" s="17">
        <f>L145*10000+O145*100+M145+0.004</f>
        <v>4.0000000000000001E-3</v>
      </c>
      <c r="Q145" s="17">
        <f>RANK(P145,P142:P145,0)</f>
        <v>1</v>
      </c>
    </row>
    <row r="148" spans="1:17" ht="20" customHeight="1" x14ac:dyDescent="0.2">
      <c r="A148" s="58" t="s">
        <v>121</v>
      </c>
      <c r="B148" s="45"/>
      <c r="C148" s="45"/>
      <c r="D148" s="45"/>
      <c r="E148" s="45"/>
      <c r="F148" s="45"/>
      <c r="G148" s="45"/>
      <c r="H148" s="45"/>
      <c r="I148" s="45"/>
      <c r="J148" s="45"/>
      <c r="K148" s="54" t="s">
        <v>122</v>
      </c>
      <c r="L148" s="45"/>
      <c r="M148" s="45"/>
      <c r="N148" s="45"/>
      <c r="O148" s="45"/>
    </row>
    <row r="149" spans="1:17" ht="17" customHeight="1" x14ac:dyDescent="0.2">
      <c r="K149" s="7" t="s">
        <v>123</v>
      </c>
      <c r="L149" s="7" t="s">
        <v>13</v>
      </c>
      <c r="M149" s="7" t="s">
        <v>14</v>
      </c>
      <c r="N149" s="7" t="s">
        <v>15</v>
      </c>
      <c r="O149" s="7" t="s">
        <v>16</v>
      </c>
    </row>
    <row r="150" spans="1:17" ht="17" customHeight="1" x14ac:dyDescent="0.2">
      <c r="A150" s="7" t="s">
        <v>124</v>
      </c>
      <c r="K150" s="18" t="str">
        <f>IF(SUM(L10:L13)=0,"Por definir",IFERROR(INDEX(K10:K13,MATCH(3,Q10:Q13,0)),"Por definir"))</f>
        <v>Por definir</v>
      </c>
      <c r="L150" s="19">
        <f>IF(SUM(L10:L13)=0,0,IFERROR(INDEX(L10:L13,MATCH(3,Q10:Q13,0)),0))</f>
        <v>0</v>
      </c>
      <c r="M150" s="19">
        <f>IF(SUM(L10:L13)=0,0,IFERROR(INDEX(M10:M13,MATCH(3,Q10:Q13,0)),0))</f>
        <v>0</v>
      </c>
      <c r="N150" s="19">
        <f>IF(SUM(L10:L13)=0,0,IFERROR(INDEX(N10:N13,MATCH(3,Q10:Q13,0)),0))</f>
        <v>0</v>
      </c>
      <c r="O150" s="19">
        <f>IF(SUM(L10:L13)=0,0,M150-N150)</f>
        <v>0</v>
      </c>
      <c r="P150" s="17">
        <f>IF(SUM(L10:L13)=0,-99999+0.001,L150*10000+O150*100+M150+0.001)</f>
        <v>-99998.998999999996</v>
      </c>
      <c r="Q150" s="17">
        <f>RANK(P150,P150:P161,0)</f>
        <v>12</v>
      </c>
    </row>
    <row r="151" spans="1:17" ht="17" customHeight="1" x14ac:dyDescent="0.2">
      <c r="A151" s="7" t="s">
        <v>125</v>
      </c>
      <c r="K151" s="18" t="str">
        <f>IF(SUM(L22:L25)=0,"Por definir",IFERROR(INDEX(K22:K25,MATCH(3,Q22:Q25,0)),"Por definir"))</f>
        <v>Por definir</v>
      </c>
      <c r="L151" s="19">
        <f>IF(SUM(L22:L25)=0,0,IFERROR(INDEX(L22:L25,MATCH(3,Q22:Q25,0)),0))</f>
        <v>0</v>
      </c>
      <c r="M151" s="19">
        <f>IF(SUM(L22:L25)=0,0,IFERROR(INDEX(M22:M25,MATCH(3,Q22:Q25,0)),0))</f>
        <v>0</v>
      </c>
      <c r="N151" s="19">
        <f>IF(SUM(L22:L25)=0,0,IFERROR(INDEX(N22:N25,MATCH(3,Q22:Q25,0)),0))</f>
        <v>0</v>
      </c>
      <c r="O151" s="19">
        <f>IF(SUM(L22:L25)=0,0,M151-N151)</f>
        <v>0</v>
      </c>
      <c r="P151" s="17">
        <f>IF(SUM(L22:L25)=0,-99999+0.002,L151*10000+O151*100+M151+0.002)</f>
        <v>-99998.998000000007</v>
      </c>
      <c r="Q151" s="17">
        <f>RANK(P151,P150:P161,0)</f>
        <v>11</v>
      </c>
    </row>
    <row r="152" spans="1:17" ht="17" customHeight="1" x14ac:dyDescent="0.2">
      <c r="A152" s="7" t="s">
        <v>15</v>
      </c>
      <c r="K152" s="18" t="str">
        <f>IF(SUM(L34:L37)=0,"Por definir",IFERROR(INDEX(K34:K37,MATCH(3,Q34:Q37,0)),"Por definir"))</f>
        <v>Por definir</v>
      </c>
      <c r="L152" s="19">
        <f>IF(SUM(L34:L37)=0,0,IFERROR(INDEX(L34:L37,MATCH(3,Q34:Q37,0)),0))</f>
        <v>0</v>
      </c>
      <c r="M152" s="19">
        <f>IF(SUM(L34:L37)=0,0,IFERROR(INDEX(M34:M37,MATCH(3,Q34:Q37,0)),0))</f>
        <v>0</v>
      </c>
      <c r="N152" s="19">
        <f>IF(SUM(L34:L37)=0,0,IFERROR(INDEX(N34:N37,MATCH(3,Q34:Q37,0)),0))</f>
        <v>0</v>
      </c>
      <c r="O152" s="19">
        <f>IF(SUM(L34:L37)=0,0,M152-N152)</f>
        <v>0</v>
      </c>
      <c r="P152" s="17">
        <f>IF(SUM(L34:L37)=0,-99999+0.003,L152*10000+O152*100+M152+0.003)</f>
        <v>-99998.997000000003</v>
      </c>
      <c r="Q152" s="17">
        <f>RANK(P152,P150:P161,0)</f>
        <v>10</v>
      </c>
    </row>
    <row r="153" spans="1:17" ht="17" customHeight="1" x14ac:dyDescent="0.2">
      <c r="A153" s="7" t="s">
        <v>126</v>
      </c>
      <c r="K153" s="18" t="str">
        <f>IF(SUM(L46:L49)=0,"Por definir",IFERROR(INDEX(K46:K49,MATCH(3,Q46:Q49,0)),"Por definir"))</f>
        <v>Por definir</v>
      </c>
      <c r="L153" s="19">
        <f>IF(SUM(L46:L49)=0,0,IFERROR(INDEX(L46:L49,MATCH(3,Q46:Q49,0)),0))</f>
        <v>0</v>
      </c>
      <c r="M153" s="19">
        <f>IF(SUM(L46:L49)=0,0,IFERROR(INDEX(M46:M49,MATCH(3,Q46:Q49,0)),0))</f>
        <v>0</v>
      </c>
      <c r="N153" s="19">
        <f>IF(SUM(L46:L49)=0,0,IFERROR(INDEX(N46:N49,MATCH(3,Q46:Q49,0)),0))</f>
        <v>0</v>
      </c>
      <c r="O153" s="19">
        <f>IF(SUM(L46:L49)=0,0,M153-N153)</f>
        <v>0</v>
      </c>
      <c r="P153" s="17">
        <f>IF(SUM(L46:L49)=0,-99999+0.004,L153*10000+O153*100+M153+0.004)</f>
        <v>-99998.995999999999</v>
      </c>
      <c r="Q153" s="17">
        <f>RANK(P153,P150:P161,0)</f>
        <v>9</v>
      </c>
    </row>
    <row r="154" spans="1:17" ht="17" customHeight="1" x14ac:dyDescent="0.2">
      <c r="A154" s="7" t="s">
        <v>127</v>
      </c>
      <c r="K154" s="18" t="str">
        <f>IF(SUM(L58:L61)=0,"Por definir",IFERROR(INDEX(K58:K61,MATCH(3,Q58:Q61,0)),"Por definir"))</f>
        <v>Por definir</v>
      </c>
      <c r="L154" s="19">
        <f>IF(SUM(L58:L61)=0,0,IFERROR(INDEX(L58:L61,MATCH(3,Q58:Q61,0)),0))</f>
        <v>0</v>
      </c>
      <c r="M154" s="19">
        <f>IF(SUM(L58:L61)=0,0,IFERROR(INDEX(M58:M61,MATCH(3,Q58:Q61,0)),0))</f>
        <v>0</v>
      </c>
      <c r="N154" s="19">
        <f>IF(SUM(L58:L61)=0,0,IFERROR(INDEX(N58:N61,MATCH(3,Q58:Q61,0)),0))</f>
        <v>0</v>
      </c>
      <c r="O154" s="19">
        <f>IF(SUM(L58:L61)=0,0,M154-N154)</f>
        <v>0</v>
      </c>
      <c r="P154" s="17">
        <f>IF(SUM(L58:L61)=0,-99999+0.005,L154*10000+O154*100+M154+0.005)</f>
        <v>-99998.994999999995</v>
      </c>
      <c r="Q154" s="17">
        <f>RANK(P154,P150:P161,0)</f>
        <v>8</v>
      </c>
    </row>
    <row r="155" spans="1:17" ht="17" customHeight="1" x14ac:dyDescent="0.2">
      <c r="A155" s="7" t="s">
        <v>14</v>
      </c>
      <c r="K155" s="18" t="str">
        <f>IF(SUM(L70:L73)=0,"Por definir",IFERROR(INDEX(K70:K73,MATCH(3,Q70:Q73,0)),"Por definir"))</f>
        <v>Por definir</v>
      </c>
      <c r="L155" s="19">
        <f>IF(SUM(L70:L73)=0,0,IFERROR(INDEX(L70:L73,MATCH(3,Q70:Q73,0)),0))</f>
        <v>0</v>
      </c>
      <c r="M155" s="19">
        <f>IF(SUM(L70:L73)=0,0,IFERROR(INDEX(M70:M73,MATCH(3,Q70:Q73,0)),0))</f>
        <v>0</v>
      </c>
      <c r="N155" s="19">
        <f>IF(SUM(L70:L73)=0,0,IFERROR(INDEX(N70:N73,MATCH(3,Q70:Q73,0)),0))</f>
        <v>0</v>
      </c>
      <c r="O155" s="19">
        <f>IF(SUM(L70:L73)=0,0,M155-N155)</f>
        <v>0</v>
      </c>
      <c r="P155" s="17">
        <f>IF(SUM(L70:L73)=0,-99999+0.006,L155*10000+O155*100+M155+0.006)</f>
        <v>-99998.994000000006</v>
      </c>
      <c r="Q155" s="17">
        <f>RANK(P155,P150:P161,0)</f>
        <v>7</v>
      </c>
    </row>
    <row r="156" spans="1:17" ht="17" customHeight="1" x14ac:dyDescent="0.2">
      <c r="A156" s="7" t="s">
        <v>128</v>
      </c>
      <c r="K156" s="18" t="str">
        <f>IF(SUM(L82:L85)=0,"Por definir",IFERROR(INDEX(K82:K85,MATCH(3,Q82:Q85,0)),"Por definir"))</f>
        <v>Por definir</v>
      </c>
      <c r="L156" s="19">
        <f>IF(SUM(L82:L85)=0,0,IFERROR(INDEX(L82:L85,MATCH(3,Q82:Q85,0)),0))</f>
        <v>0</v>
      </c>
      <c r="M156" s="19">
        <f>IF(SUM(L82:L85)=0,0,IFERROR(INDEX(M82:M85,MATCH(3,Q82:Q85,0)),0))</f>
        <v>0</v>
      </c>
      <c r="N156" s="19">
        <f>IF(SUM(L82:L85)=0,0,IFERROR(INDEX(N82:N85,MATCH(3,Q82:Q85,0)),0))</f>
        <v>0</v>
      </c>
      <c r="O156" s="19">
        <f>IF(SUM(L82:L85)=0,0,M156-N156)</f>
        <v>0</v>
      </c>
      <c r="P156" s="17">
        <f>IF(SUM(L82:L85)=0,-99999+0.007,L156*10000+O156*100+M156+0.007)</f>
        <v>-99998.993000000002</v>
      </c>
      <c r="Q156" s="17">
        <f>RANK(P156,P150:P161,0)</f>
        <v>6</v>
      </c>
    </row>
    <row r="157" spans="1:17" ht="17" customHeight="1" x14ac:dyDescent="0.2">
      <c r="A157" s="7" t="s">
        <v>129</v>
      </c>
      <c r="K157" s="18" t="str">
        <f>IF(SUM(L94:L97)=0,"Por definir",IFERROR(INDEX(K94:K97,MATCH(3,Q94:Q97,0)),"Por definir"))</f>
        <v>Por definir</v>
      </c>
      <c r="L157" s="19">
        <f>IF(SUM(L94:L97)=0,0,IFERROR(INDEX(L94:L97,MATCH(3,Q94:Q97,0)),0))</f>
        <v>0</v>
      </c>
      <c r="M157" s="19">
        <f>IF(SUM(L94:L97)=0,0,IFERROR(INDEX(M94:M97,MATCH(3,Q94:Q97,0)),0))</f>
        <v>0</v>
      </c>
      <c r="N157" s="19">
        <f>IF(SUM(L94:L97)=0,0,IFERROR(INDEX(N94:N97,MATCH(3,Q94:Q97,0)),0))</f>
        <v>0</v>
      </c>
      <c r="O157" s="19">
        <f>IF(SUM(L94:L97)=0,0,M157-N157)</f>
        <v>0</v>
      </c>
      <c r="P157" s="17">
        <f>IF(SUM(L94:L97)=0,-99999+0.008,L157*10000+O157*100+M157+0.008)</f>
        <v>-99998.991999999998</v>
      </c>
      <c r="Q157" s="17">
        <f>RANK(P157,P150:P161,0)</f>
        <v>5</v>
      </c>
    </row>
    <row r="158" spans="1:17" ht="17" customHeight="1" x14ac:dyDescent="0.2">
      <c r="A158" s="7" t="s">
        <v>130</v>
      </c>
      <c r="K158" s="18" t="str">
        <f>IF(SUM(L106:L109)=0,"Por definir",IFERROR(INDEX(K106:K109,MATCH(3,Q106:Q109,0)),"Por definir"))</f>
        <v>Por definir</v>
      </c>
      <c r="L158" s="19">
        <f>IF(SUM(L106:L109)=0,0,IFERROR(INDEX(L106:L109,MATCH(3,Q106:Q109,0)),0))</f>
        <v>0</v>
      </c>
      <c r="M158" s="19">
        <f>IF(SUM(L106:L109)=0,0,IFERROR(INDEX(M106:M109,MATCH(3,Q106:Q109,0)),0))</f>
        <v>0</v>
      </c>
      <c r="N158" s="19">
        <f>IF(SUM(L106:L109)=0,0,IFERROR(INDEX(N106:N109,MATCH(3,Q106:Q109,0)),0))</f>
        <v>0</v>
      </c>
      <c r="O158" s="19">
        <f>IF(SUM(L106:L109)=0,0,M158-N158)</f>
        <v>0</v>
      </c>
      <c r="P158" s="17">
        <f>IF(SUM(L106:L109)=0,-99999+0.009,L158*10000+O158*100+M158+0.009)</f>
        <v>-99998.990999999995</v>
      </c>
      <c r="Q158" s="17">
        <f>RANK(P158,P150:P161,0)</f>
        <v>4</v>
      </c>
    </row>
    <row r="159" spans="1:17" ht="17" customHeight="1" x14ac:dyDescent="0.2">
      <c r="A159" s="7" t="s">
        <v>131</v>
      </c>
      <c r="K159" s="18" t="str">
        <f>IF(SUM(L118:L121)=0,"Por definir",IFERROR(INDEX(K118:K121,MATCH(3,Q118:Q121,0)),"Por definir"))</f>
        <v>Por definir</v>
      </c>
      <c r="L159" s="19">
        <f>IF(SUM(L118:L121)=0,0,IFERROR(INDEX(L118:L121,MATCH(3,Q118:Q121,0)),0))</f>
        <v>0</v>
      </c>
      <c r="M159" s="19">
        <f>IF(SUM(L118:L121)=0,0,IFERROR(INDEX(M118:M121,MATCH(3,Q118:Q121,0)),0))</f>
        <v>0</v>
      </c>
      <c r="N159" s="19">
        <f>IF(SUM(L118:L121)=0,0,IFERROR(INDEX(N118:N121,MATCH(3,Q118:Q121,0)),0))</f>
        <v>0</v>
      </c>
      <c r="O159" s="19">
        <f>IF(SUM(L118:L121)=0,0,M159-N159)</f>
        <v>0</v>
      </c>
      <c r="P159" s="17">
        <f>IF(SUM(L118:L121)=0,-99999+0.01,L159*10000+O159*100+M159+0.01)</f>
        <v>-99998.99</v>
      </c>
      <c r="Q159" s="17">
        <f>RANK(P159,P150:P161,0)</f>
        <v>3</v>
      </c>
    </row>
    <row r="160" spans="1:17" ht="17" customHeight="1" x14ac:dyDescent="0.2">
      <c r="A160" s="7" t="s">
        <v>132</v>
      </c>
      <c r="K160" s="18" t="str">
        <f>IF(SUM(L130:L133)=0,"Por definir",IFERROR(INDEX(K130:K133,MATCH(3,Q130:Q133,0)),"Por definir"))</f>
        <v>Por definir</v>
      </c>
      <c r="L160" s="19">
        <f>IF(SUM(L130:L133)=0,0,IFERROR(INDEX(L130:L133,MATCH(3,Q130:Q133,0)),0))</f>
        <v>0</v>
      </c>
      <c r="M160" s="19">
        <f>IF(SUM(L130:L133)=0,0,IFERROR(INDEX(M130:M133,MATCH(3,Q130:Q133,0)),0))</f>
        <v>0</v>
      </c>
      <c r="N160" s="19">
        <f>IF(SUM(L130:L133)=0,0,IFERROR(INDEX(N130:N133,MATCH(3,Q130:Q133,0)),0))</f>
        <v>0</v>
      </c>
      <c r="O160" s="19">
        <f>IF(SUM(L130:L133)=0,0,M160-N160)</f>
        <v>0</v>
      </c>
      <c r="P160" s="17">
        <f>IF(SUM(L130:L133)=0,-99999+0.011,L160*10000+O160*100+M160+0.011)</f>
        <v>-99998.989000000001</v>
      </c>
      <c r="Q160" s="17">
        <f>RANK(P160,P150:P161,0)</f>
        <v>2</v>
      </c>
    </row>
    <row r="161" spans="1:17" ht="17" customHeight="1" x14ac:dyDescent="0.2">
      <c r="A161" s="7" t="s">
        <v>133</v>
      </c>
      <c r="K161" s="18" t="str">
        <f>IF(SUM(L142:L145)=0,"Por definir",IFERROR(INDEX(K142:K145,MATCH(3,Q142:Q145,0)),"Por definir"))</f>
        <v>Por definir</v>
      </c>
      <c r="L161" s="19">
        <f>IF(SUM(L142:L145)=0,0,IFERROR(INDEX(L142:L145,MATCH(3,Q142:Q145,0)),0))</f>
        <v>0</v>
      </c>
      <c r="M161" s="19">
        <f>IF(SUM(L142:L145)=0,0,IFERROR(INDEX(M142:M145,MATCH(3,Q142:Q145,0)),0))</f>
        <v>0</v>
      </c>
      <c r="N161" s="19">
        <f>IF(SUM(L142:L145)=0,0,IFERROR(INDEX(N142:N145,MATCH(3,Q142:Q145,0)),0))</f>
        <v>0</v>
      </c>
      <c r="O161" s="19">
        <f>IF(SUM(L142:L145)=0,0,M161-N161)</f>
        <v>0</v>
      </c>
      <c r="P161" s="17">
        <f>IF(SUM(L142:L145)=0,-99999+0.012,L161*10000+O161*100+M161+0.012)</f>
        <v>-99998.987999999998</v>
      </c>
      <c r="Q161" s="17">
        <f>RANK(P161,P150:P161,0)</f>
        <v>1</v>
      </c>
    </row>
    <row r="164" spans="1:17" ht="24" customHeight="1" x14ac:dyDescent="0.2">
      <c r="A164" s="56" t="s">
        <v>134</v>
      </c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</row>
    <row r="165" spans="1:17" ht="18" customHeight="1" x14ac:dyDescent="0.2">
      <c r="A165" s="20">
        <v>1</v>
      </c>
      <c r="B165" s="21" t="s">
        <v>135</v>
      </c>
      <c r="C165" s="20"/>
      <c r="D165" s="22" t="str">
        <f>IF(SUM(L10:L13)=0,"Por definir",IFERROR(INDEX(K10:K13,MATCH(1,Q10:Q13,0)),"Por definir"))</f>
        <v>Por definir</v>
      </c>
      <c r="E165" s="64"/>
      <c r="F165" s="20" t="s">
        <v>7</v>
      </c>
      <c r="G165" s="64"/>
      <c r="H165" s="23" t="str">
        <f>IF(SUM(L22:L25)=0,"Por definir",IFERROR(INDEX(K22:K25,MATCH(2,Q22:Q25,0)),"Por definir"))</f>
        <v>Por definir</v>
      </c>
      <c r="I165" s="11"/>
      <c r="J165" s="65"/>
    </row>
    <row r="166" spans="1:17" ht="18" customHeight="1" x14ac:dyDescent="0.2">
      <c r="A166" s="20">
        <v>2</v>
      </c>
      <c r="B166" s="21" t="s">
        <v>136</v>
      </c>
      <c r="C166" s="20"/>
      <c r="D166" s="22" t="str">
        <f>IF(SUM(L34:L37)=0,"Por definir",IFERROR(INDEX(K34:K37,MATCH(1,Q34:Q37,0)),"Por definir"))</f>
        <v>Por definir</v>
      </c>
      <c r="E166" s="64"/>
      <c r="F166" s="20" t="s">
        <v>7</v>
      </c>
      <c r="G166" s="64"/>
      <c r="H166" s="23" t="str">
        <f>IF(SUM(L46:L49)=0,"Por definir",IFERROR(INDEX(K46:K49,MATCH(2,Q46:Q49,0)),"Por definir"))</f>
        <v>Por definir</v>
      </c>
      <c r="I166" s="11"/>
      <c r="J166" s="65"/>
    </row>
    <row r="167" spans="1:17" ht="18" customHeight="1" x14ac:dyDescent="0.2">
      <c r="A167" s="20">
        <v>3</v>
      </c>
      <c r="B167" s="21" t="s">
        <v>137</v>
      </c>
      <c r="C167" s="20"/>
      <c r="D167" s="22" t="str">
        <f>IF(SUM(L58:L61)=0,"Por definir",IFERROR(INDEX(K58:K61,MATCH(1,Q58:Q61,0)),"Por definir"))</f>
        <v>Por definir</v>
      </c>
      <c r="E167" s="64"/>
      <c r="F167" s="20" t="s">
        <v>7</v>
      </c>
      <c r="G167" s="64"/>
      <c r="H167" s="23" t="str">
        <f>IF(SUM(L70:L73)=0,"Por definir",IFERROR(INDEX(K70:K73,MATCH(2,Q70:Q73,0)),"Por definir"))</f>
        <v>Por definir</v>
      </c>
      <c r="I167" s="11"/>
      <c r="J167" s="65"/>
    </row>
    <row r="168" spans="1:17" ht="18" customHeight="1" x14ac:dyDescent="0.2">
      <c r="A168" s="20">
        <v>4</v>
      </c>
      <c r="B168" s="21" t="s">
        <v>138</v>
      </c>
      <c r="C168" s="20"/>
      <c r="D168" s="22" t="str">
        <f>IF(SUM(L82:L85)=0,"Por definir",IFERROR(INDEX(K82:K85,MATCH(1,Q82:Q85,0)),"Por definir"))</f>
        <v>Por definir</v>
      </c>
      <c r="E168" s="64"/>
      <c r="F168" s="20" t="s">
        <v>7</v>
      </c>
      <c r="G168" s="64"/>
      <c r="H168" s="23" t="str">
        <f>IF(SUM(L94:L97)=0,"Por definir",IFERROR(INDEX(K94:K97,MATCH(2,Q94:Q97,0)),"Por definir"))</f>
        <v>Por definir</v>
      </c>
      <c r="I168" s="11"/>
      <c r="J168" s="65"/>
    </row>
    <row r="169" spans="1:17" ht="18" customHeight="1" x14ac:dyDescent="0.2">
      <c r="A169" s="20">
        <v>5</v>
      </c>
      <c r="B169" s="21" t="s">
        <v>139</v>
      </c>
      <c r="C169" s="20"/>
      <c r="D169" s="22" t="str">
        <f>IF(SUM(L22:L25)=0,"Por definir",IFERROR(INDEX(K22:K25,MATCH(1,Q22:Q25,0)),"Por definir"))</f>
        <v>Por definir</v>
      </c>
      <c r="E169" s="64"/>
      <c r="F169" s="20" t="s">
        <v>7</v>
      </c>
      <c r="G169" s="64"/>
      <c r="H169" s="23" t="str">
        <f>IF(SUM(L10:L13)=0,"Por definir",IFERROR(INDEX(K10:K13,MATCH(2,Q10:Q13,0)),"Por definir"))</f>
        <v>Por definir</v>
      </c>
      <c r="I169" s="11"/>
      <c r="J169" s="65"/>
    </row>
    <row r="170" spans="1:17" ht="18" customHeight="1" x14ac:dyDescent="0.2">
      <c r="A170" s="20">
        <v>6</v>
      </c>
      <c r="B170" s="21" t="s">
        <v>140</v>
      </c>
      <c r="C170" s="20"/>
      <c r="D170" s="22" t="str">
        <f>IF(SUM(L46:L49)=0,"Por definir",IFERROR(INDEX(K46:K49,MATCH(1,Q46:Q49,0)),"Por definir"))</f>
        <v>Por definir</v>
      </c>
      <c r="E170" s="64"/>
      <c r="F170" s="20" t="s">
        <v>7</v>
      </c>
      <c r="G170" s="64"/>
      <c r="H170" s="23" t="str">
        <f>IF(SUM(L34:L37)=0,"Por definir",IFERROR(INDEX(K34:K37,MATCH(2,Q34:Q37,0)),"Por definir"))</f>
        <v>Por definir</v>
      </c>
      <c r="I170" s="11"/>
      <c r="J170" s="65"/>
    </row>
    <row r="171" spans="1:17" ht="18" customHeight="1" x14ac:dyDescent="0.2">
      <c r="A171" s="20">
        <v>7</v>
      </c>
      <c r="B171" s="21" t="s">
        <v>141</v>
      </c>
      <c r="C171" s="20"/>
      <c r="D171" s="22" t="str">
        <f>IF(SUM(L70:L73)=0,"Por definir",IFERROR(INDEX(K70:K73,MATCH(1,Q70:Q73,0)),"Por definir"))</f>
        <v>Por definir</v>
      </c>
      <c r="E171" s="64"/>
      <c r="F171" s="20" t="s">
        <v>7</v>
      </c>
      <c r="G171" s="64"/>
      <c r="H171" s="23" t="str">
        <f>IF(SUM(L58:L61)=0,"Por definir",IFERROR(INDEX(K58:K61,MATCH(2,Q58:Q61,0)),"Por definir"))</f>
        <v>Por definir</v>
      </c>
      <c r="I171" s="11"/>
      <c r="J171" s="65"/>
    </row>
    <row r="172" spans="1:17" ht="18" customHeight="1" x14ac:dyDescent="0.2">
      <c r="A172" s="20">
        <v>8</v>
      </c>
      <c r="B172" s="21" t="s">
        <v>142</v>
      </c>
      <c r="C172" s="20"/>
      <c r="D172" s="22" t="str">
        <f>IF(SUM(L94:L97)=0,"Por definir",IFERROR(INDEX(K94:K97,MATCH(1,Q94:Q97,0)),"Por definir"))</f>
        <v>Por definir</v>
      </c>
      <c r="E172" s="64"/>
      <c r="F172" s="20" t="s">
        <v>7</v>
      </c>
      <c r="G172" s="64"/>
      <c r="H172" s="23" t="str">
        <f>IF(SUM(L82:L85)=0,"Por definir",IFERROR(INDEX(K82:K85,MATCH(2,Q82:Q85,0)),"Por definir"))</f>
        <v>Por definir</v>
      </c>
      <c r="I172" s="11"/>
      <c r="J172" s="65"/>
    </row>
    <row r="173" spans="1:17" ht="18" customHeight="1" x14ac:dyDescent="0.2">
      <c r="A173" s="20">
        <v>9</v>
      </c>
      <c r="B173" s="21" t="s">
        <v>143</v>
      </c>
      <c r="C173" s="20"/>
      <c r="D173" s="22" t="str">
        <f>IF(SUM(L106:L109)=0,"Por definir",IFERROR(INDEX(K106:K109,MATCH(1,Q106:Q109,0)),"Por definir"))</f>
        <v>Por definir</v>
      </c>
      <c r="E173" s="64"/>
      <c r="F173" s="20" t="s">
        <v>7</v>
      </c>
      <c r="G173" s="64"/>
      <c r="H173" s="23" t="str">
        <f>IF(SUM(L118:L121)=0,"Por definir",IFERROR(INDEX(K118:K121,MATCH(2,Q118:Q121,0)),"Por definir"))</f>
        <v>Por definir</v>
      </c>
      <c r="I173" s="11"/>
      <c r="J173" s="65"/>
    </row>
    <row r="174" spans="1:17" ht="18" customHeight="1" x14ac:dyDescent="0.2">
      <c r="A174" s="20">
        <v>10</v>
      </c>
      <c r="B174" s="21" t="s">
        <v>144</v>
      </c>
      <c r="C174" s="20"/>
      <c r="D174" s="22" t="str">
        <f>IF(SUM(L130:L133)=0,"Por definir",IFERROR(INDEX(K130:K133,MATCH(1,Q130:Q133,0)),"Por definir"))</f>
        <v>Por definir</v>
      </c>
      <c r="E174" s="64"/>
      <c r="F174" s="20" t="s">
        <v>7</v>
      </c>
      <c r="G174" s="64"/>
      <c r="H174" s="23" t="str">
        <f>IF(SUM(L142:L145)=0,"Por definir",IFERROR(INDEX(K142:K145,MATCH(2,Q142:Q145,0)),"Por definir"))</f>
        <v>Por definir</v>
      </c>
      <c r="I174" s="11"/>
      <c r="J174" s="65"/>
    </row>
    <row r="175" spans="1:17" ht="18" customHeight="1" x14ac:dyDescent="0.2">
      <c r="A175" s="20">
        <v>11</v>
      </c>
      <c r="B175" s="21" t="s">
        <v>145</v>
      </c>
      <c r="C175" s="20"/>
      <c r="D175" s="22" t="str">
        <f>IF(SUM(L118:L121)=0,"Por definir",IFERROR(INDEX(K118:K121,MATCH(1,Q118:Q121,0)),"Por definir"))</f>
        <v>Por definir</v>
      </c>
      <c r="E175" s="64"/>
      <c r="F175" s="20" t="s">
        <v>7</v>
      </c>
      <c r="G175" s="64"/>
      <c r="H175" s="23" t="str">
        <f>IF(SUM(L106:L109)=0,"Por definir",IFERROR(INDEX(K106:K109,MATCH(2,Q106:Q109,0)),"Por definir"))</f>
        <v>Por definir</v>
      </c>
      <c r="I175" s="11"/>
      <c r="J175" s="65"/>
    </row>
    <row r="176" spans="1:17" ht="18" customHeight="1" x14ac:dyDescent="0.2">
      <c r="A176" s="20">
        <v>12</v>
      </c>
      <c r="B176" s="21" t="s">
        <v>146</v>
      </c>
      <c r="C176" s="20"/>
      <c r="D176" s="22" t="str">
        <f>IF(SUM(L142:L145)=0,"Por definir",IFERROR(INDEX(K142:K145,MATCH(1,Q142:Q145,0)),"Por definir"))</f>
        <v>Por definir</v>
      </c>
      <c r="E176" s="64"/>
      <c r="F176" s="20" t="s">
        <v>7</v>
      </c>
      <c r="G176" s="64"/>
      <c r="H176" s="23" t="str">
        <f>IF(SUM(L130:L133)=0,"Por definir",IFERROR(INDEX(K130:K133,MATCH(2,Q130:Q133,0)),"Por definir"))</f>
        <v>Por definir</v>
      </c>
      <c r="I176" s="11"/>
      <c r="J176" s="65"/>
    </row>
    <row r="177" spans="1:16" ht="18" customHeight="1" x14ac:dyDescent="0.2">
      <c r="A177" s="20">
        <v>13</v>
      </c>
      <c r="B177" s="21" t="s">
        <v>147</v>
      </c>
      <c r="C177" s="20"/>
      <c r="D177" s="22" t="str">
        <f>IF(LARGE(P150:P161,1)&lt;0,"Por definir",IFERROR(INDEX(K150:K161,MATCH(1,Q150:Q161,0)),"Por definir"))</f>
        <v>Por definir</v>
      </c>
      <c r="E177" s="64"/>
      <c r="F177" s="20" t="s">
        <v>7</v>
      </c>
      <c r="G177" s="64"/>
      <c r="H177" s="23" t="str">
        <f>IF(LARGE(P150:P161,2)&lt;0,"Por definir",IFERROR(INDEX(K150:K161,MATCH(2,Q150:Q161,0)),"Por definir"))</f>
        <v>Por definir</v>
      </c>
      <c r="I177" s="11"/>
      <c r="J177" s="65"/>
    </row>
    <row r="178" spans="1:16" ht="18" customHeight="1" x14ac:dyDescent="0.2">
      <c r="A178" s="20">
        <v>14</v>
      </c>
      <c r="B178" s="21" t="s">
        <v>148</v>
      </c>
      <c r="C178" s="20"/>
      <c r="D178" s="22" t="str">
        <f>IF(LARGE(P150:P161,3)&lt;0,"Por definir",IFERROR(INDEX(K150:K161,MATCH(3,Q150:Q161,0)),"Por definir"))</f>
        <v>Por definir</v>
      </c>
      <c r="E178" s="64"/>
      <c r="F178" s="20" t="s">
        <v>7</v>
      </c>
      <c r="G178" s="64"/>
      <c r="H178" s="23" t="str">
        <f>IF(LARGE(P150:P161,4)&lt;0,"Por definir",IFERROR(INDEX(K150:K161,MATCH(4,Q150:Q161,0)),"Por definir"))</f>
        <v>Por definir</v>
      </c>
      <c r="I178" s="11"/>
      <c r="J178" s="65"/>
    </row>
    <row r="179" spans="1:16" ht="18" customHeight="1" x14ac:dyDescent="0.2">
      <c r="A179" s="20">
        <v>15</v>
      </c>
      <c r="B179" s="21" t="s">
        <v>149</v>
      </c>
      <c r="C179" s="20"/>
      <c r="D179" s="22" t="str">
        <f>IF(LARGE(P150:P161,5)&lt;0,"Por definir",IFERROR(INDEX(K150:K161,MATCH(5,Q150:Q161,0)),"Por definir"))</f>
        <v>Por definir</v>
      </c>
      <c r="E179" s="64"/>
      <c r="F179" s="20" t="s">
        <v>7</v>
      </c>
      <c r="G179" s="64"/>
      <c r="H179" s="23" t="str">
        <f>IF(LARGE(P150:P161,6)&lt;0,"Por definir",IFERROR(INDEX(K150:K161,MATCH(6,Q150:Q161,0)),"Por definir"))</f>
        <v>Por definir</v>
      </c>
      <c r="I179" s="11"/>
      <c r="J179" s="65"/>
    </row>
    <row r="180" spans="1:16" ht="18" customHeight="1" x14ac:dyDescent="0.2">
      <c r="A180" s="20">
        <v>16</v>
      </c>
      <c r="B180" s="21" t="s">
        <v>150</v>
      </c>
      <c r="C180" s="20"/>
      <c r="D180" s="22" t="str">
        <f>IF(LARGE(P150:P161,7)&lt;0,"Por definir",IFERROR(INDEX(K150:K161,MATCH(7,Q150:Q161,0)),"Por definir"))</f>
        <v>Por definir</v>
      </c>
      <c r="E180" s="64"/>
      <c r="F180" s="20" t="s">
        <v>7</v>
      </c>
      <c r="G180" s="64"/>
      <c r="H180" s="23" t="str">
        <f>IF(LARGE(P150:P161,8)&lt;0,"Por definir",IFERROR(INDEX(K150:K161,MATCH(8,Q150:Q161,0)),"Por definir"))</f>
        <v>Por definir</v>
      </c>
      <c r="I180" s="11"/>
      <c r="J180" s="65"/>
    </row>
    <row r="182" spans="1:16" ht="24" customHeight="1" x14ac:dyDescent="0.2">
      <c r="A182" s="59" t="s">
        <v>151</v>
      </c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</row>
    <row r="183" spans="1:16" ht="18" customHeight="1" x14ac:dyDescent="0.2">
      <c r="A183" s="24">
        <v>1</v>
      </c>
      <c r="B183" s="25" t="s">
        <v>135</v>
      </c>
      <c r="C183" s="24"/>
      <c r="D183" s="26" t="str">
        <f>IFERROR(IF(AND(ISNUMBER(E165),ISNUMBER(G165)),IF(E165&gt;G165,D165,IF(G165&gt;E165,H165,IF(J165&lt;&gt;"",J165,"→ Pon ganador penaltis en col J"))),"Por definir"),"")</f>
        <v>Por definir</v>
      </c>
      <c r="E183" s="64"/>
      <c r="F183" s="24" t="s">
        <v>7</v>
      </c>
      <c r="G183" s="64"/>
      <c r="H183" s="27" t="str">
        <f>IFERROR(IF(AND(ISNUMBER(E166),ISNUMBER(G166)),IF(E166&gt;G166,D166,IF(G166&gt;E166,H166,IF(J166&lt;&gt;"",J166,"→ Pon ganador penaltis en col J"))),"Por definir"),"")</f>
        <v>Por definir</v>
      </c>
      <c r="I183" s="11"/>
      <c r="J183" s="65"/>
    </row>
    <row r="184" spans="1:16" ht="18" customHeight="1" x14ac:dyDescent="0.2">
      <c r="A184" s="24">
        <v>2</v>
      </c>
      <c r="B184" s="25" t="s">
        <v>136</v>
      </c>
      <c r="C184" s="24"/>
      <c r="D184" s="26" t="str">
        <f>IFERROR(IF(AND(ISNUMBER(E167),ISNUMBER(G167)),IF(E167&gt;G167,D167,IF(G167&gt;E167,H167,IF(J167&lt;&gt;"",J167,"→ Pon ganador penaltis en col J"))),"Por definir"),"")</f>
        <v>Por definir</v>
      </c>
      <c r="E184" s="64"/>
      <c r="F184" s="24" t="s">
        <v>7</v>
      </c>
      <c r="G184" s="64"/>
      <c r="H184" s="27" t="str">
        <f>IFERROR(IF(AND(ISNUMBER(E168),ISNUMBER(G168)),IF(E168&gt;G168,D168,IF(G168&gt;E168,H168,IF(J168&lt;&gt;"",J168,"→ Pon ganador penaltis en col J"))),"Por definir"),"")</f>
        <v>Por definir</v>
      </c>
      <c r="I184" s="11"/>
      <c r="J184" s="65"/>
    </row>
    <row r="185" spans="1:16" ht="18" customHeight="1" x14ac:dyDescent="0.2">
      <c r="A185" s="24">
        <v>3</v>
      </c>
      <c r="B185" s="25" t="s">
        <v>137</v>
      </c>
      <c r="C185" s="24"/>
      <c r="D185" s="26" t="str">
        <f>IFERROR(IF(AND(ISNUMBER(E169),ISNUMBER(G169)),IF(E169&gt;G169,D169,IF(G169&gt;E169,H169,IF(J169&lt;&gt;"",J169,"→ Pon ganador penaltis en col J"))),"Por definir"),"")</f>
        <v>Por definir</v>
      </c>
      <c r="E185" s="64"/>
      <c r="F185" s="24" t="s">
        <v>7</v>
      </c>
      <c r="G185" s="64"/>
      <c r="H185" s="27" t="str">
        <f>IFERROR(IF(AND(ISNUMBER(E170),ISNUMBER(G170)),IF(E170&gt;G170,D170,IF(G170&gt;E170,H170,IF(J170&lt;&gt;"",J170,"→ Pon ganador penaltis en col J"))),"Por definir"),"")</f>
        <v>Por definir</v>
      </c>
      <c r="I185" s="11"/>
      <c r="J185" s="65"/>
    </row>
    <row r="186" spans="1:16" ht="18" customHeight="1" x14ac:dyDescent="0.2">
      <c r="A186" s="24">
        <v>4</v>
      </c>
      <c r="B186" s="25" t="s">
        <v>138</v>
      </c>
      <c r="C186" s="24"/>
      <c r="D186" s="26" t="str">
        <f>IFERROR(IF(AND(ISNUMBER(E171),ISNUMBER(G171)),IF(E171&gt;G171,D171,IF(G171&gt;E171,H171,IF(J171&lt;&gt;"",J171,"→ Pon ganador penaltis en col J"))),"Por definir"),"")</f>
        <v>Por definir</v>
      </c>
      <c r="E186" s="64"/>
      <c r="F186" s="24" t="s">
        <v>7</v>
      </c>
      <c r="G186" s="64"/>
      <c r="H186" s="27" t="str">
        <f>IFERROR(IF(AND(ISNUMBER(E172),ISNUMBER(G172)),IF(E172&gt;G172,D172,IF(G172&gt;E172,H172,IF(J172&lt;&gt;"",J172,"→ Pon ganador penaltis en col J"))),"Por definir"),"")</f>
        <v>Por definir</v>
      </c>
      <c r="I186" s="11"/>
      <c r="J186" s="65"/>
    </row>
    <row r="187" spans="1:16" ht="18" customHeight="1" x14ac:dyDescent="0.2">
      <c r="A187" s="24">
        <v>5</v>
      </c>
      <c r="B187" s="25" t="s">
        <v>139</v>
      </c>
      <c r="C187" s="24"/>
      <c r="D187" s="26" t="str">
        <f>IFERROR(IF(AND(ISNUMBER(E173),ISNUMBER(G173)),IF(E173&gt;G173,D173,IF(G173&gt;E173,H173,IF(J173&lt;&gt;"",J173,"→ Pon ganador penaltis en col J"))),"Por definir"),"")</f>
        <v>Por definir</v>
      </c>
      <c r="E187" s="64"/>
      <c r="F187" s="24" t="s">
        <v>7</v>
      </c>
      <c r="G187" s="64"/>
      <c r="H187" s="27" t="str">
        <f>IFERROR(IF(AND(ISNUMBER(E174),ISNUMBER(G174)),IF(E174&gt;G174,D174,IF(G174&gt;E174,H174,IF(J174&lt;&gt;"",J174,"→ Pon ganador penaltis en col J"))),"Por definir"),"")</f>
        <v>Por definir</v>
      </c>
      <c r="I187" s="11"/>
      <c r="J187" s="65"/>
    </row>
    <row r="188" spans="1:16" ht="18" customHeight="1" x14ac:dyDescent="0.2">
      <c r="A188" s="24">
        <v>6</v>
      </c>
      <c r="B188" s="25" t="s">
        <v>140</v>
      </c>
      <c r="C188" s="24"/>
      <c r="D188" s="26" t="str">
        <f>IFERROR(IF(AND(ISNUMBER(E175),ISNUMBER(G175)),IF(E175&gt;G175,D175,IF(G175&gt;E175,H175,IF(J175&lt;&gt;"",J175,"→ Pon ganador penaltis en col J"))),"Por definir"),"")</f>
        <v>Por definir</v>
      </c>
      <c r="E188" s="64"/>
      <c r="F188" s="24" t="s">
        <v>7</v>
      </c>
      <c r="G188" s="64"/>
      <c r="H188" s="27" t="str">
        <f>IFERROR(IF(AND(ISNUMBER(E176),ISNUMBER(G176)),IF(E176&gt;G176,D176,IF(G176&gt;E176,H176,IF(J176&lt;&gt;"",J176,"→ Pon ganador penaltis en col J"))),"Por definir"),"")</f>
        <v>Por definir</v>
      </c>
      <c r="I188" s="11"/>
      <c r="J188" s="65"/>
    </row>
    <row r="189" spans="1:16" ht="18" customHeight="1" x14ac:dyDescent="0.2">
      <c r="A189" s="24">
        <v>7</v>
      </c>
      <c r="B189" s="25" t="s">
        <v>141</v>
      </c>
      <c r="C189" s="24"/>
      <c r="D189" s="26" t="str">
        <f>IFERROR(IF(AND(ISNUMBER(E177),ISNUMBER(G177)),IF(E177&gt;G177,D177,IF(G177&gt;E177,H177,IF(J177&lt;&gt;"",J177,"→ Pon ganador penaltis en col J"))),"Por definir"),"")</f>
        <v>Por definir</v>
      </c>
      <c r="E189" s="64"/>
      <c r="F189" s="24" t="s">
        <v>7</v>
      </c>
      <c r="G189" s="64"/>
      <c r="H189" s="27" t="str">
        <f>IFERROR(IF(AND(ISNUMBER(E178),ISNUMBER(G178)),IF(E178&gt;G178,D178,IF(G178&gt;E178,H178,IF(J178&lt;&gt;"",J178,"→ Pon ganador penaltis en col J"))),"Por definir"),"")</f>
        <v>Por definir</v>
      </c>
      <c r="I189" s="11"/>
      <c r="J189" s="65"/>
    </row>
    <row r="190" spans="1:16" ht="18" customHeight="1" x14ac:dyDescent="0.2">
      <c r="A190" s="24">
        <v>8</v>
      </c>
      <c r="B190" s="25" t="s">
        <v>142</v>
      </c>
      <c r="C190" s="24"/>
      <c r="D190" s="26" t="str">
        <f>IFERROR(IF(AND(ISNUMBER(E179),ISNUMBER(G179)),IF(E179&gt;G179,D179,IF(G179&gt;E179,H179,IF(J179&lt;&gt;"",J179,"→ Pon ganador penaltis en col J"))),"Por definir"),"")</f>
        <v>Por definir</v>
      </c>
      <c r="E190" s="64"/>
      <c r="F190" s="24" t="s">
        <v>7</v>
      </c>
      <c r="G190" s="64"/>
      <c r="H190" s="27" t="str">
        <f>IFERROR(IF(AND(ISNUMBER(E180),ISNUMBER(G180)),IF(E180&gt;G180,D180,IF(G180&gt;E180,H180,IF(J180&lt;&gt;"",J180,"→ Pon ganador penaltis en col J"))),"Por definir"),"")</f>
        <v>Por definir</v>
      </c>
      <c r="I190" s="11"/>
      <c r="J190" s="65"/>
    </row>
    <row r="192" spans="1:16" ht="24" customHeight="1" x14ac:dyDescent="0.2">
      <c r="A192" s="48" t="s">
        <v>152</v>
      </c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</row>
    <row r="193" spans="1:16" ht="18" customHeight="1" x14ac:dyDescent="0.2">
      <c r="A193" s="28">
        <v>1</v>
      </c>
      <c r="B193" s="29" t="s">
        <v>135</v>
      </c>
      <c r="C193" s="28"/>
      <c r="D193" s="30" t="str">
        <f>IFERROR(IF(AND(ISNUMBER(E183),ISNUMBER(G183)),IF(E183&gt;G183,D183,IF(G183&gt;E183,H183,IF(J183&lt;&gt;"",J183,"→ Pon ganador penaltis en col J"))),"Por definir"),"")</f>
        <v>Por definir</v>
      </c>
      <c r="E193" s="64"/>
      <c r="F193" s="28" t="s">
        <v>7</v>
      </c>
      <c r="G193" s="64"/>
      <c r="H193" s="31" t="str">
        <f>IFERROR(IF(AND(ISNUMBER(E184),ISNUMBER(G184)),IF(E184&gt;G184,D184,IF(G184&gt;E184,H184,IF(J184&lt;&gt;"",J184,"→ Pon ganador penaltis en col J"))),"Por definir"),"")</f>
        <v>Por definir</v>
      </c>
      <c r="I193" s="11"/>
      <c r="J193" s="65"/>
    </row>
    <row r="194" spans="1:16" ht="18" customHeight="1" x14ac:dyDescent="0.2">
      <c r="A194" s="28">
        <v>2</v>
      </c>
      <c r="B194" s="29" t="s">
        <v>136</v>
      </c>
      <c r="C194" s="28"/>
      <c r="D194" s="30" t="str">
        <f>IFERROR(IF(AND(ISNUMBER(E185),ISNUMBER(G185)),IF(E185&gt;G185,D185,IF(G185&gt;E185,H185,IF(J185&lt;&gt;"",J185,"→ Pon ganador penaltis en col J"))),"Por definir"),"")</f>
        <v>Por definir</v>
      </c>
      <c r="E194" s="64"/>
      <c r="F194" s="28" t="s">
        <v>7</v>
      </c>
      <c r="G194" s="64"/>
      <c r="H194" s="31" t="str">
        <f>IFERROR(IF(AND(ISNUMBER(E186),ISNUMBER(G186)),IF(E186&gt;G186,D186,IF(G186&gt;E186,H186,IF(J186&lt;&gt;"",J186,"→ Pon ganador penaltis en col J"))),"Por definir"),"")</f>
        <v>Por definir</v>
      </c>
      <c r="I194" s="11"/>
      <c r="J194" s="65"/>
    </row>
    <row r="195" spans="1:16" ht="18" customHeight="1" x14ac:dyDescent="0.2">
      <c r="A195" s="28">
        <v>3</v>
      </c>
      <c r="B195" s="29" t="s">
        <v>137</v>
      </c>
      <c r="C195" s="28"/>
      <c r="D195" s="30" t="str">
        <f>IFERROR(IF(AND(ISNUMBER(E187),ISNUMBER(G187)),IF(E187&gt;G187,D187,IF(G187&gt;E187,H187,IF(J187&lt;&gt;"",J187,"→ Pon ganador penaltis en col J"))),"Por definir"),"")</f>
        <v>Por definir</v>
      </c>
      <c r="E195" s="64"/>
      <c r="F195" s="28" t="s">
        <v>7</v>
      </c>
      <c r="G195" s="64"/>
      <c r="H195" s="31" t="str">
        <f>IFERROR(IF(AND(ISNUMBER(E188),ISNUMBER(G188)),IF(E188&gt;G188,D188,IF(G188&gt;E188,H188,IF(J188&lt;&gt;"",J188,"→ Pon ganador penaltis en col J"))),"Por definir"),"")</f>
        <v>Por definir</v>
      </c>
      <c r="I195" s="11"/>
      <c r="J195" s="65"/>
    </row>
    <row r="196" spans="1:16" ht="18" customHeight="1" x14ac:dyDescent="0.2">
      <c r="A196" s="28">
        <v>4</v>
      </c>
      <c r="B196" s="29" t="s">
        <v>138</v>
      </c>
      <c r="C196" s="28"/>
      <c r="D196" s="30" t="str">
        <f>IFERROR(IF(AND(ISNUMBER(E189),ISNUMBER(G189)),IF(E189&gt;G189,D189,IF(G189&gt;E189,H189,IF(J189&lt;&gt;"",J189,"→ Pon ganador penaltis en col J"))),"Por definir"),"")</f>
        <v>Por definir</v>
      </c>
      <c r="E196" s="64"/>
      <c r="F196" s="28" t="s">
        <v>7</v>
      </c>
      <c r="G196" s="64"/>
      <c r="H196" s="31" t="str">
        <f>IFERROR(IF(AND(ISNUMBER(E190),ISNUMBER(G190)),IF(E190&gt;G190,D190,IF(G190&gt;E190,H190,IF(J190&lt;&gt;"",J190,"→ Pon ganador penaltis en col J"))),"Por definir"),"")</f>
        <v>Por definir</v>
      </c>
      <c r="I196" s="11"/>
      <c r="J196" s="65"/>
    </row>
    <row r="198" spans="1:16" ht="24" customHeight="1" x14ac:dyDescent="0.2">
      <c r="A198" s="49" t="s">
        <v>153</v>
      </c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</row>
    <row r="199" spans="1:16" ht="18" customHeight="1" x14ac:dyDescent="0.2">
      <c r="A199" s="32">
        <v>1</v>
      </c>
      <c r="B199" s="33"/>
      <c r="C199" s="32"/>
      <c r="D199" s="34" t="str">
        <f>IFERROR(IF(AND(ISNUMBER(E193),ISNUMBER(G193)),IF(E193&gt;G193,D193,IF(G193&gt;E193,H193,IF(J193&lt;&gt;"",J193,"→ Pon ganador penaltis en col J"))),"Por definir"),"")</f>
        <v>Por definir</v>
      </c>
      <c r="E199" s="64"/>
      <c r="F199" s="32" t="s">
        <v>7</v>
      </c>
      <c r="G199" s="64"/>
      <c r="H199" s="35" t="str">
        <f>IFERROR(IF(AND(ISNUMBER(E194),ISNUMBER(G194)),IF(E194&gt;G194,D194,IF(G194&gt;E194,H194,IF(J194&lt;&gt;"",J194,"→ Pon ganador penaltis en col J"))),"Por definir"),"")</f>
        <v>Por definir</v>
      </c>
      <c r="I199" s="11"/>
      <c r="J199" s="65"/>
    </row>
    <row r="200" spans="1:16" ht="18" customHeight="1" x14ac:dyDescent="0.2">
      <c r="A200" s="32">
        <v>2</v>
      </c>
      <c r="B200" s="33"/>
      <c r="C200" s="32"/>
      <c r="D200" s="34" t="str">
        <f>IFERROR(IF(AND(ISNUMBER(E195),ISNUMBER(G195)),IF(E195&gt;G195,D195,IF(G195&gt;E195,H195,IF(J195&lt;&gt;"",J195,"→ Pon ganador penaltis en col J"))),"Por definir"),"")</f>
        <v>Por definir</v>
      </c>
      <c r="E200" s="64"/>
      <c r="F200" s="32" t="s">
        <v>7</v>
      </c>
      <c r="G200" s="64"/>
      <c r="H200" s="35" t="str">
        <f>IFERROR(IF(AND(ISNUMBER(E196),ISNUMBER(G196)),IF(E196&gt;G196,D196,IF(G196&gt;E196,H196,IF(J196&lt;&gt;"",J196,"→ Pon ganador penaltis en col J"))),"Por definir"),"")</f>
        <v>Por definir</v>
      </c>
      <c r="I200" s="11"/>
      <c r="J200" s="65"/>
    </row>
    <row r="202" spans="1:16" ht="24" customHeight="1" x14ac:dyDescent="0.2">
      <c r="A202" s="62" t="s">
        <v>154</v>
      </c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</row>
    <row r="203" spans="1:16" ht="18" customHeight="1" x14ac:dyDescent="0.2">
      <c r="A203" s="36">
        <v>1</v>
      </c>
      <c r="B203" s="37"/>
      <c r="C203" s="36"/>
      <c r="D203" s="38" t="str">
        <f>IFERROR(IF(AND(ISNUMBER(E199),ISNUMBER(G199)),IF(E199&gt;G199,H199,IF(G199&gt;E199,D199,IF(J199=D199,H199,IF(J199=H199,D199,"Por definir")))),"Por definir"),"")</f>
        <v>Por definir</v>
      </c>
      <c r="E203" s="64"/>
      <c r="F203" s="36" t="s">
        <v>7</v>
      </c>
      <c r="G203" s="64"/>
      <c r="H203" s="39" t="str">
        <f>IFERROR(IF(AND(ISNUMBER(E200),ISNUMBER(G200)),IF(E200&gt;G200,H200,IF(G200&gt;E200,D200,IF(J200=D200,H200,IF(J200=H200,D200,"Por definir")))),"Por definir"),"")</f>
        <v>Por definir</v>
      </c>
      <c r="I203" s="11"/>
      <c r="J203" s="65"/>
    </row>
    <row r="205" spans="1:16" ht="24" customHeight="1" x14ac:dyDescent="0.2">
      <c r="A205" s="53" t="s">
        <v>155</v>
      </c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</row>
    <row r="206" spans="1:16" ht="18" customHeight="1" x14ac:dyDescent="0.2">
      <c r="A206" s="40">
        <v>1</v>
      </c>
      <c r="B206" s="41"/>
      <c r="C206" s="40"/>
      <c r="D206" s="42" t="str">
        <f>IFERROR(IF(AND(ISNUMBER(E199),ISNUMBER(G199)),IF(E199&gt;G199,D199,IF(G199&gt;E199,H199,IF(J199&lt;&gt;"",J199,"→ Pon ganador penaltis en col J"))),"Por definir"),"")</f>
        <v>Por definir</v>
      </c>
      <c r="E206" s="64"/>
      <c r="F206" s="40" t="s">
        <v>7</v>
      </c>
      <c r="G206" s="64"/>
      <c r="H206" s="43" t="str">
        <f>IFERROR(IF(AND(ISNUMBER(E200),ISNUMBER(G200)),IF(E200&gt;G200,D200,IF(G200&gt;E200,H200,IF(J200&lt;&gt;"",J200,"→ Pon ganador penaltis en col J"))),"Por definir"),"")</f>
        <v>Por definir</v>
      </c>
      <c r="I206" s="11"/>
      <c r="J206" s="65"/>
    </row>
    <row r="209" spans="1:10" ht="16" customHeight="1" x14ac:dyDescent="0.2">
      <c r="A209" s="63" t="s">
        <v>156</v>
      </c>
      <c r="B209" s="45"/>
      <c r="C209" s="45"/>
      <c r="D209" s="45"/>
      <c r="E209" s="45"/>
      <c r="F209" s="45"/>
      <c r="G209" s="45"/>
      <c r="H209" s="45"/>
      <c r="I209" s="45"/>
      <c r="J209" s="45"/>
    </row>
    <row r="211" spans="1:10" ht="20" customHeight="1" x14ac:dyDescent="0.2">
      <c r="A211" s="60" t="s">
        <v>157</v>
      </c>
      <c r="B211" s="45"/>
      <c r="C211" s="45"/>
      <c r="D211" s="45"/>
      <c r="E211" s="45"/>
      <c r="F211" s="45"/>
      <c r="G211" s="45"/>
      <c r="H211" s="45"/>
      <c r="I211" s="45"/>
    </row>
    <row r="212" spans="1:10" ht="17" customHeight="1" x14ac:dyDescent="0.2">
      <c r="A212" s="50" t="s">
        <v>158</v>
      </c>
      <c r="B212" s="45"/>
      <c r="C212" s="45"/>
      <c r="D212" s="45"/>
      <c r="E212" s="45"/>
      <c r="F212" s="45"/>
      <c r="G212" s="45"/>
      <c r="H212" s="55" t="s">
        <v>159</v>
      </c>
      <c r="I212" s="45"/>
    </row>
    <row r="213" spans="1:10" ht="17" customHeight="1" x14ac:dyDescent="0.2">
      <c r="A213" s="51" t="s">
        <v>160</v>
      </c>
      <c r="B213" s="45"/>
      <c r="C213" s="45"/>
      <c r="D213" s="45"/>
      <c r="E213" s="45"/>
      <c r="F213" s="45"/>
      <c r="G213" s="45"/>
      <c r="H213" s="57" t="s">
        <v>161</v>
      </c>
      <c r="I213" s="45"/>
    </row>
    <row r="214" spans="1:10" ht="17" customHeight="1" x14ac:dyDescent="0.2">
      <c r="A214" s="50" t="s">
        <v>162</v>
      </c>
      <c r="B214" s="45"/>
      <c r="C214" s="45"/>
      <c r="D214" s="45"/>
      <c r="E214" s="45"/>
      <c r="F214" s="45"/>
      <c r="G214" s="45"/>
      <c r="H214" s="55" t="s">
        <v>163</v>
      </c>
      <c r="I214" s="45"/>
    </row>
    <row r="215" spans="1:10" ht="17" customHeight="1" x14ac:dyDescent="0.2">
      <c r="A215" s="51" t="s">
        <v>164</v>
      </c>
      <c r="B215" s="45"/>
      <c r="C215" s="45"/>
      <c r="D215" s="45"/>
      <c r="E215" s="45"/>
      <c r="F215" s="45"/>
      <c r="G215" s="45"/>
      <c r="H215" s="57" t="s">
        <v>165</v>
      </c>
      <c r="I215" s="45"/>
    </row>
    <row r="216" spans="1:10" ht="17" customHeight="1" x14ac:dyDescent="0.2">
      <c r="A216" s="50" t="s">
        <v>166</v>
      </c>
      <c r="B216" s="45"/>
      <c r="C216" s="45"/>
      <c r="D216" s="45"/>
      <c r="E216" s="45"/>
      <c r="F216" s="45"/>
      <c r="G216" s="45"/>
      <c r="H216" s="55" t="s">
        <v>167</v>
      </c>
      <c r="I216" s="45"/>
    </row>
    <row r="217" spans="1:10" ht="17" customHeight="1" x14ac:dyDescent="0.2">
      <c r="A217" s="51"/>
      <c r="B217" s="45"/>
      <c r="C217" s="45"/>
      <c r="D217" s="45"/>
      <c r="E217" s="45"/>
      <c r="F217" s="45"/>
      <c r="G217" s="45"/>
      <c r="H217" s="61"/>
      <c r="I217" s="45"/>
    </row>
    <row r="218" spans="1:10" ht="17" customHeight="1" x14ac:dyDescent="0.2">
      <c r="A218" s="50" t="s">
        <v>168</v>
      </c>
      <c r="B218" s="45"/>
      <c r="C218" s="45"/>
      <c r="D218" s="45"/>
      <c r="E218" s="45"/>
      <c r="F218" s="45"/>
      <c r="G218" s="45"/>
      <c r="H218" s="55" t="s">
        <v>169</v>
      </c>
      <c r="I218" s="45"/>
    </row>
    <row r="219" spans="1:10" ht="17" customHeight="1" x14ac:dyDescent="0.2">
      <c r="A219" s="51" t="s">
        <v>170</v>
      </c>
      <c r="B219" s="45"/>
      <c r="C219" s="45"/>
      <c r="D219" s="45"/>
      <c r="E219" s="45"/>
      <c r="F219" s="45"/>
      <c r="G219" s="45"/>
      <c r="H219" s="57" t="s">
        <v>171</v>
      </c>
      <c r="I219" s="45"/>
    </row>
    <row r="220" spans="1:10" ht="17" customHeight="1" x14ac:dyDescent="0.2">
      <c r="A220" s="50" t="s">
        <v>172</v>
      </c>
      <c r="B220" s="45"/>
      <c r="C220" s="45"/>
      <c r="D220" s="45"/>
      <c r="E220" s="45"/>
      <c r="F220" s="45"/>
      <c r="G220" s="45"/>
      <c r="H220" s="55" t="s">
        <v>173</v>
      </c>
      <c r="I220" s="45"/>
    </row>
    <row r="221" spans="1:10" ht="17" customHeight="1" x14ac:dyDescent="0.2">
      <c r="A221" s="51" t="s">
        <v>174</v>
      </c>
      <c r="B221" s="45"/>
      <c r="C221" s="45"/>
      <c r="D221" s="45"/>
      <c r="E221" s="45"/>
      <c r="F221" s="45"/>
      <c r="G221" s="45"/>
      <c r="H221" s="57" t="s">
        <v>175</v>
      </c>
      <c r="I221" s="45"/>
    </row>
    <row r="222" spans="1:10" ht="17" customHeight="1" x14ac:dyDescent="0.2">
      <c r="A222" s="50" t="s">
        <v>176</v>
      </c>
      <c r="B222" s="45"/>
      <c r="C222" s="45"/>
      <c r="D222" s="45"/>
      <c r="E222" s="45"/>
      <c r="F222" s="45"/>
      <c r="G222" s="45"/>
      <c r="H222" s="55" t="s">
        <v>177</v>
      </c>
      <c r="I222" s="45"/>
    </row>
    <row r="223" spans="1:10" ht="17" customHeight="1" x14ac:dyDescent="0.2">
      <c r="A223" s="51" t="s">
        <v>178</v>
      </c>
      <c r="B223" s="45"/>
      <c r="C223" s="45"/>
      <c r="D223" s="45"/>
      <c r="E223" s="45"/>
      <c r="F223" s="45"/>
      <c r="G223" s="45"/>
      <c r="H223" s="57" t="s">
        <v>179</v>
      </c>
      <c r="I223" s="45"/>
    </row>
  </sheetData>
  <sheetProtection sheet="1" objects="1" scenarios="1"/>
  <mergeCells count="60">
    <mergeCell ref="H223:I223"/>
    <mergeCell ref="A111:J111"/>
    <mergeCell ref="K27:P27"/>
    <mergeCell ref="A202:P202"/>
    <mergeCell ref="H222:I222"/>
    <mergeCell ref="A39:J39"/>
    <mergeCell ref="A223:G223"/>
    <mergeCell ref="H221:I221"/>
    <mergeCell ref="K111:P111"/>
    <mergeCell ref="H212:I212"/>
    <mergeCell ref="A209:J209"/>
    <mergeCell ref="H220:I220"/>
    <mergeCell ref="A220:G220"/>
    <mergeCell ref="H215:I215"/>
    <mergeCell ref="K63:P63"/>
    <mergeCell ref="A219:G219"/>
    <mergeCell ref="A222:G222"/>
    <mergeCell ref="A216:G216"/>
    <mergeCell ref="A51:J51"/>
    <mergeCell ref="A182:P182"/>
    <mergeCell ref="H219:I219"/>
    <mergeCell ref="A123:J123"/>
    <mergeCell ref="H218:I218"/>
    <mergeCell ref="A211:I211"/>
    <mergeCell ref="A87:J87"/>
    <mergeCell ref="H217:I217"/>
    <mergeCell ref="A214:G214"/>
    <mergeCell ref="A213:G213"/>
    <mergeCell ref="A135:J135"/>
    <mergeCell ref="K99:P99"/>
    <mergeCell ref="A215:G215"/>
    <mergeCell ref="H216:I216"/>
    <mergeCell ref="A218:G218"/>
    <mergeCell ref="A221:G221"/>
    <mergeCell ref="K87:P87"/>
    <mergeCell ref="K1:N1"/>
    <mergeCell ref="A205:P205"/>
    <mergeCell ref="A212:G212"/>
    <mergeCell ref="K148:O148"/>
    <mergeCell ref="A99:J99"/>
    <mergeCell ref="H214:I214"/>
    <mergeCell ref="K15:P15"/>
    <mergeCell ref="A75:J75"/>
    <mergeCell ref="A164:P164"/>
    <mergeCell ref="A217:G217"/>
    <mergeCell ref="A27:J27"/>
    <mergeCell ref="H213:I213"/>
    <mergeCell ref="A15:J15"/>
    <mergeCell ref="A3:J3"/>
    <mergeCell ref="K123:P123"/>
    <mergeCell ref="A1:I1"/>
    <mergeCell ref="A192:P192"/>
    <mergeCell ref="A198:P198"/>
    <mergeCell ref="K51:P51"/>
    <mergeCell ref="K135:P135"/>
    <mergeCell ref="K3:P3"/>
    <mergeCell ref="A148:J148"/>
    <mergeCell ref="K39:P39"/>
    <mergeCell ref="K75:P75"/>
    <mergeCell ref="A63:J63"/>
  </mergeCells>
  <conditionalFormatting sqref="K10:O13">
    <cfRule type="expression" dxfId="36" priority="1">
      <formula>AND($Q10&lt;=2,SUM($L$10:$L$13)&gt;0)</formula>
    </cfRule>
    <cfRule type="expression" dxfId="35" priority="2">
      <formula>AND($Q10=3,SUM($L$10:$L$13)&gt;0)</formula>
    </cfRule>
    <cfRule type="expression" dxfId="34" priority="3">
      <formula>AND($Q10=4,SUM($L$10:$L$13)&gt;0)</formula>
    </cfRule>
  </conditionalFormatting>
  <conditionalFormatting sqref="K22:O25">
    <cfRule type="expression" dxfId="33" priority="4">
      <formula>AND($Q22&lt;=2,SUM($L$22:$L$25)&gt;0)</formula>
    </cfRule>
    <cfRule type="expression" dxfId="32" priority="5">
      <formula>AND($Q22=3,SUM($L$22:$L$25)&gt;0)</formula>
    </cfRule>
    <cfRule type="expression" dxfId="31" priority="6">
      <formula>AND($Q22=4,SUM($L$22:$L$25)&gt;0)</formula>
    </cfRule>
  </conditionalFormatting>
  <conditionalFormatting sqref="K34:O37">
    <cfRule type="expression" dxfId="30" priority="7">
      <formula>AND($Q34&lt;=2,SUM($L$34:$L$37)&gt;0)</formula>
    </cfRule>
    <cfRule type="expression" dxfId="29" priority="8">
      <formula>AND($Q34=3,SUM($L$34:$L$37)&gt;0)</formula>
    </cfRule>
    <cfRule type="expression" dxfId="28" priority="9">
      <formula>AND($Q34=4,SUM($L$34:$L$37)&gt;0)</formula>
    </cfRule>
  </conditionalFormatting>
  <conditionalFormatting sqref="K46:O49">
    <cfRule type="expression" dxfId="27" priority="10">
      <formula>AND($Q46&lt;=2,SUM($L$46:$L$49)&gt;0)</formula>
    </cfRule>
    <cfRule type="expression" dxfId="26" priority="11">
      <formula>AND($Q46=3,SUM($L$46:$L$49)&gt;0)</formula>
    </cfRule>
    <cfRule type="expression" dxfId="25" priority="12">
      <formula>AND($Q46=4,SUM($L$46:$L$49)&gt;0)</formula>
    </cfRule>
  </conditionalFormatting>
  <conditionalFormatting sqref="K58:O61">
    <cfRule type="expression" dxfId="24" priority="13">
      <formula>AND($Q58&lt;=2,SUM($L$58:$L$61)&gt;0)</formula>
    </cfRule>
    <cfRule type="expression" dxfId="23" priority="14">
      <formula>AND($Q58=3,SUM($L$58:$L$61)&gt;0)</formula>
    </cfRule>
    <cfRule type="expression" dxfId="22" priority="15">
      <formula>AND($Q58=4,SUM($L$58:$L$61)&gt;0)</formula>
    </cfRule>
  </conditionalFormatting>
  <conditionalFormatting sqref="K70:O73">
    <cfRule type="expression" dxfId="21" priority="16">
      <formula>AND($Q70&lt;=2,SUM($L$70:$L$73)&gt;0)</formula>
    </cfRule>
    <cfRule type="expression" dxfId="20" priority="17">
      <formula>AND($Q70=3,SUM($L$70:$L$73)&gt;0)</formula>
    </cfRule>
    <cfRule type="expression" dxfId="19" priority="18">
      <formula>AND($Q70=4,SUM($L$70:$L$73)&gt;0)</formula>
    </cfRule>
  </conditionalFormatting>
  <conditionalFormatting sqref="K82:O85">
    <cfRule type="expression" dxfId="18" priority="19">
      <formula>AND($Q82&lt;=2,SUM($L$82:$L$85)&gt;0)</formula>
    </cfRule>
    <cfRule type="expression" dxfId="17" priority="20">
      <formula>AND($Q82=3,SUM($L$82:$L$85)&gt;0)</formula>
    </cfRule>
    <cfRule type="expression" dxfId="16" priority="21">
      <formula>AND($Q82=4,SUM($L$82:$L$85)&gt;0)</formula>
    </cfRule>
  </conditionalFormatting>
  <conditionalFormatting sqref="K94:O97">
    <cfRule type="expression" dxfId="15" priority="22">
      <formula>AND($Q94&lt;=2,SUM($L$94:$L$97)&gt;0)</formula>
    </cfRule>
    <cfRule type="expression" dxfId="14" priority="23">
      <formula>AND($Q94=3,SUM($L$94:$L$97)&gt;0)</formula>
    </cfRule>
    <cfRule type="expression" dxfId="13" priority="24">
      <formula>AND($Q94=4,SUM($L$94:$L$97)&gt;0)</formula>
    </cfRule>
  </conditionalFormatting>
  <conditionalFormatting sqref="K106:O109">
    <cfRule type="expression" dxfId="12" priority="25">
      <formula>AND($Q106&lt;=2,SUM($L$106:$L$109)&gt;0)</formula>
    </cfRule>
    <cfRule type="expression" dxfId="11" priority="26">
      <formula>AND($Q106=3,SUM($L$106:$L$109)&gt;0)</formula>
    </cfRule>
    <cfRule type="expression" dxfId="10" priority="27">
      <formula>AND($Q106=4,SUM($L$106:$L$109)&gt;0)</formula>
    </cfRule>
  </conditionalFormatting>
  <conditionalFormatting sqref="K118:O121">
    <cfRule type="expression" dxfId="9" priority="28">
      <formula>AND($Q118&lt;=2,SUM($L$118:$L$121)&gt;0)</formula>
    </cfRule>
    <cfRule type="expression" dxfId="8" priority="29">
      <formula>AND($Q118=3,SUM($L$118:$L$121)&gt;0)</formula>
    </cfRule>
    <cfRule type="expression" dxfId="7" priority="30">
      <formula>AND($Q118=4,SUM($L$118:$L$121)&gt;0)</formula>
    </cfRule>
  </conditionalFormatting>
  <conditionalFormatting sqref="K130:O133">
    <cfRule type="expression" dxfId="6" priority="31">
      <formula>AND($Q130&lt;=2,SUM($L$130:$L$133)&gt;0)</formula>
    </cfRule>
    <cfRule type="expression" dxfId="5" priority="32">
      <formula>AND($Q130=3,SUM($L$130:$L$133)&gt;0)</formula>
    </cfRule>
    <cfRule type="expression" dxfId="4" priority="33">
      <formula>AND($Q130=4,SUM($L$130:$L$133)&gt;0)</formula>
    </cfRule>
  </conditionalFormatting>
  <conditionalFormatting sqref="K142:O145">
    <cfRule type="expression" dxfId="3" priority="34">
      <formula>AND($Q142&lt;=2,SUM($L$142:$L$145)&gt;0)</formula>
    </cfRule>
    <cfRule type="expression" dxfId="2" priority="35">
      <formula>AND($Q142=3,SUM($L$142:$L$145)&gt;0)</formula>
    </cfRule>
    <cfRule type="expression" dxfId="1" priority="36">
      <formula>AND($Q142=4,SUM($L$142:$L$145)&gt;0)</formula>
    </cfRule>
  </conditionalFormatting>
  <conditionalFormatting sqref="K150:O161">
    <cfRule type="expression" dxfId="0" priority="37">
      <formula>AND($Q150&lt;=8,$P150&gt;-99000)</formula>
    </cfRule>
  </conditionalFormatting>
  <dataValidations count="208">
    <dataValidation type="whole" allowBlank="1" showInputMessage="1" showErrorMessage="1" errorTitle="Valor no válido" error="Solo se permiten números enteros (0-99)." promptTitle="Marcador" prompt="Ingresa un número entero (0-99)" sqref="E4" xr:uid="{0B726EC5-F535-E84D-85A3-6C65D95B726A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4" xr:uid="{2579CE59-22D7-6646-BC93-84C6F8825DB2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5" xr:uid="{B063B14B-DE65-254F-A1C9-86D13A749E3D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5" xr:uid="{006AFFA7-B713-7840-A6A1-830C49822CE7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6" xr:uid="{77BF2150-6EBD-FB45-BB72-DE6746443806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6" xr:uid="{923E0D00-0299-554C-AE81-63BE8F926EF2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7" xr:uid="{E3050BB8-A41E-0245-B65C-394EBB61D52A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7" xr:uid="{933C992C-1753-6E48-86FB-480F5AF9CD63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8" xr:uid="{48D59425-DDA0-F341-BA9B-B40A3B09AD34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8" xr:uid="{8EDFEE2E-7F41-B84D-8BDE-B889FB2423A6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9" xr:uid="{C1AA55AA-EE43-2946-9C91-751549D49D98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9" xr:uid="{369DD8E0-57BF-AB40-A449-F5B2772C838C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6" xr:uid="{E5B441D5-E0EA-EF4D-86B0-4505E56E43F5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6" xr:uid="{BEEA22D4-B408-0A48-B273-2D38FACE3EA8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7" xr:uid="{B396436A-38EA-854F-893C-A82DF4065B14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7" xr:uid="{90980EDE-A674-A44A-948E-BE2CDCCD319A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8" xr:uid="{DB1CB648-367F-1646-8C9D-6B70AE18F7D9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8" xr:uid="{4FE581C5-A8D9-0445-AD4D-E364E3A69F00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9" xr:uid="{D4DEEE8F-7047-4644-8136-91EB6FE87348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9" xr:uid="{2449EE75-A2EB-6F47-8198-C5738404945A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20" xr:uid="{AC146E70-7AFC-2F43-BDE1-5F5054A2F603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20" xr:uid="{AFB699BC-F340-9C4E-86A2-7C4FF27DB90B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21" xr:uid="{B8263299-966F-9E49-982D-CF2B36A05F74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21" xr:uid="{997BE115-0A42-994B-9A68-99FB4B151837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28" xr:uid="{54171043-536F-104A-BE66-D22D1238DEB1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28" xr:uid="{18670BDF-9BBE-0F45-9B23-CE7189BD61A0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29" xr:uid="{04BEFBE8-C452-E341-A957-80D0C3FEC075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29" xr:uid="{4C132AE9-A80E-224F-8C24-E1ABFC148372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30" xr:uid="{B8382E47-4EA7-454A-A923-BF0507E72C06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30" xr:uid="{CA5E9279-2F22-8F44-A05B-7D1268616B59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31" xr:uid="{AE63F622-B765-8341-8E07-6FB28FA64FA7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31" xr:uid="{122F6091-8CA5-6948-A5FD-A7ED826C9BFA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32" xr:uid="{DABB4491-AAD8-F04E-B009-9075F358A4EB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32" xr:uid="{D3BD5633-56A2-0341-8892-D74562A11152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33" xr:uid="{AC8605E3-11B5-2440-9D82-F00BD7ACE305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33" xr:uid="{6E1CD78A-0B78-E843-9C20-25A737A77237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40" xr:uid="{4761A8C4-0C42-214D-800C-9E312A9739D3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40" xr:uid="{92DDC7E0-8FCD-A44D-8D1D-CF943F9D8071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41" xr:uid="{236566B9-EE0B-4542-B80F-4DE9EDFE3188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41" xr:uid="{E4D8F4C4-5B95-AE4B-B301-0E6F26335A5A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42" xr:uid="{F630B205-3102-254F-AE30-5D0CEF1F6ABE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42" xr:uid="{432D6F17-EA39-5449-A64F-4E60D8A07877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43" xr:uid="{FCBD8A89-819D-2940-8A7F-C1F2A10B3B79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43" xr:uid="{684EDFB8-D097-4243-AFFF-A772D4D8CFB3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44" xr:uid="{306172F2-DC20-9B44-B791-44BFB5A70EB4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44" xr:uid="{37CD8169-0EBD-7D45-B1B1-56EA3BA30C06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45" xr:uid="{C0197CE5-1F37-0147-A790-2422B3F631FC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45" xr:uid="{FE01718D-1E4E-684C-9131-9ED727E248B1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52" xr:uid="{51223F96-4705-D845-8291-BF50C15AE592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52" xr:uid="{DB1125D0-486E-F04B-A597-D4B8B6B0775C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53" xr:uid="{007CA6DE-B4A4-3445-9682-C3C2D76D2689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53" xr:uid="{F14780CC-A8CF-D649-B4E3-397BCCAF594B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54" xr:uid="{9BEC5F22-92CA-DF44-934A-FEFE66F73F01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54" xr:uid="{1C646C91-B95E-4248-B165-D22485484982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55" xr:uid="{4F21BB9F-1246-8346-A9CF-9B0CFE381A2B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55" xr:uid="{16CD724A-0633-8544-B761-89848585B030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56" xr:uid="{861BDBCD-E352-9A4E-A18E-4110F281D994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56" xr:uid="{5BDBBF9F-23C9-644B-B0D1-6B254193B828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57" xr:uid="{E8FEBD8F-2E7B-2F44-B707-AB3DAA378AFD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57" xr:uid="{978D36E7-B479-B34E-9FF2-A9F9568251B5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64" xr:uid="{E1A6E446-649D-984B-9D29-35BE435A862F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64" xr:uid="{F73FB428-7314-1E4C-B6C6-80DCE34CF25B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65" xr:uid="{6C4C17D2-AC53-7D4D-B839-CD986FC18690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65" xr:uid="{5AD346A1-7ED2-E943-854E-849B9899372D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66" xr:uid="{AC29271B-D42C-A543-88A2-52BF6F3B65A9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66" xr:uid="{E47A7237-31A8-5B47-9558-A9F512390F66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67" xr:uid="{42837163-3837-DD4A-98B1-F1F8676D481E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67" xr:uid="{217C1FA6-A64A-B74D-BFDB-68BDAAE3011E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68" xr:uid="{195856DF-83BA-894E-9270-B15201BCCEA4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68" xr:uid="{B2231629-3DD8-7041-8F50-812A57540C21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69" xr:uid="{8DF5246C-3CBE-934F-B9DA-2CE1CEFC52E0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69" xr:uid="{2E884345-6D48-D243-B551-43BE70DCCE44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76" xr:uid="{4C107CFA-B9E5-4245-981C-966D5BB4342A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76" xr:uid="{376D4135-D5DB-EA4C-A638-A730A097141A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77" xr:uid="{EF4EEC9A-2AAD-F141-B69E-9DBDC573AC8C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77" xr:uid="{8B81DAA8-A97E-E14E-99F3-30BBEA7FA061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78" xr:uid="{EBCD59A0-C2AE-0041-B446-5B7ADC872305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78" xr:uid="{14109A22-C116-154A-AA5C-159767789F96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79" xr:uid="{638A9293-465C-3B4B-9A0A-C404C57F353B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79" xr:uid="{81CC4257-7FD4-7547-8B21-BAD55F050FBD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80" xr:uid="{AA06849D-6031-7943-AD4F-B508986CC490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80" xr:uid="{E6922A2C-1830-5C4A-8831-B36F80A361D0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81" xr:uid="{B6C6BF12-31B5-454E-BD75-F0BD3EDB0320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81" xr:uid="{4E953539-B189-D94A-9B3B-DB29328ACBCB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88" xr:uid="{19BEE996-2677-4A4F-BB43-18CE8685D7D6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88" xr:uid="{08A2857C-F3C7-5F4F-B7CE-117D02AC0A70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89" xr:uid="{700600D7-15A5-E140-88A8-88D4C7AC9CE7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89" xr:uid="{7BFA8D3D-9F87-D249-B0E8-6E308C03EC60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90" xr:uid="{4FBBBE88-9FA6-8C4B-9B3B-31DF74F3DA86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90" xr:uid="{FFC0A000-C606-B449-93D4-94C5327F4BBE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91" xr:uid="{203C3E38-A601-6F44-8EEF-48CF96EB938B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91" xr:uid="{05BFBB05-1BAC-4344-BD1D-8013DFCC12D5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92" xr:uid="{5211DDA1-348A-0445-92DB-D5BEDE619002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92" xr:uid="{436664EE-FF88-7E43-A8F0-A1632D99DA64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93" xr:uid="{A6596AB5-779E-6F48-AA02-7586548AA00B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93" xr:uid="{1A8BEBFF-24B6-BF47-88C0-369D0105D567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00" xr:uid="{9DDCFC8C-2CB9-0248-B5C6-D96F2A4F37D4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00" xr:uid="{4427573E-E681-8544-9F93-31595917A6AE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01" xr:uid="{9A330807-258E-EA40-813E-29600050C277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01" xr:uid="{0418EBBD-0641-454E-9959-297A9F1E5C06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02" xr:uid="{14045F98-1606-884A-8FE8-61863AD12015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02" xr:uid="{C20DDF2B-CF51-2149-8221-B5E14AEF2FC6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03" xr:uid="{5F3A977C-EBD4-DC42-929D-869DE0B5BA8B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03" xr:uid="{DF08C53C-52BC-8C4A-AB1C-D9E9D78506A3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04" xr:uid="{31976893-121F-5D44-8A0E-6EEF4E11BAC0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04" xr:uid="{6E79264A-5B7A-B641-823B-B3D7EB6FAF07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05" xr:uid="{A5190BFC-8123-2148-B7B2-10369CD823DE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05" xr:uid="{1C36FB81-7E31-3447-B1AB-611B61AA809D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12" xr:uid="{FDAACE3D-1B29-FE45-BBC1-D42CD61D25B7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12" xr:uid="{B7B45786-2CC4-F04D-87F3-3C39C9CA7A4B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13" xr:uid="{F09E3753-82D8-BB4D-A2B6-27D825079EBD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13" xr:uid="{3AA2CA21-CD12-5940-9EE6-9B0B6E48F0C3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14" xr:uid="{4127DA4B-5828-9C44-9509-4AAD92FA52CC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14" xr:uid="{BD0A5872-11FC-A54E-84DD-8348DA8C51CF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15" xr:uid="{DEF0A503-8525-B54D-84ED-46B37AD62CE2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15" xr:uid="{DF60836A-EE8A-934F-91B6-05B263218DD5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16" xr:uid="{EB1E2BB6-0451-B643-987C-E2A2219B7747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16" xr:uid="{4241675E-BC0A-4F47-A0CA-39D84D793B65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17" xr:uid="{AA072D3B-A864-2B4D-AFFD-1D7DE7952D0E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17" xr:uid="{3609B67E-222C-0044-8765-8F1FFBE03493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24" xr:uid="{55B1393C-921B-7945-8210-7E9EC2BFC079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24" xr:uid="{70DA6FF3-0C03-8144-A044-7FF2F300B461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25" xr:uid="{B9A001D9-8C3D-5A47-BDDE-EF6067867F85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25" xr:uid="{016A7EED-F39E-E14B-9F02-EED47DB4DE3F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26" xr:uid="{8F290198-93FA-3042-AD84-7B37C40F4EA1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26" xr:uid="{E0D0FBC4-B159-5742-95C4-4F13BA64A334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27" xr:uid="{088DC5EB-3343-084A-9FCB-09D5A2EC55A0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27" xr:uid="{DBC9F008-3D8F-5448-AAE1-2E8F761BE5BA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28" xr:uid="{0E6C92D1-70CD-884E-A3BB-8675AEE1519D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28" xr:uid="{27A6AEB6-1DB0-F843-8F8A-7BB84004C7AE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29" xr:uid="{F957455A-0F03-D245-A8C7-96CF51901A85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29" xr:uid="{FA62EFC1-2616-1B47-9B8D-50B2B71D17CB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36" xr:uid="{FE8F88DE-9D33-3147-9ABB-A4E7C818977A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36" xr:uid="{18FF2998-D2AF-1B41-B640-03A1A063AC1C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37" xr:uid="{0A3F1CBB-776D-C74A-954A-F92DFDC383E5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37" xr:uid="{AD5E8ECD-8CA5-324B-A8AD-91CC2FA0AED7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38" xr:uid="{34DD342C-CCA2-7348-9538-E05F09962FC9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38" xr:uid="{BDA73810-FB9F-E540-A272-DE5CC9321499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39" xr:uid="{BB4A5B91-3D3F-6A41-8404-1F27C2731E8B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39" xr:uid="{1B16A38F-2032-634B-8D06-CA6CE5111E3A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40" xr:uid="{0BF44A66-DD76-5B4D-819B-3145968DDF63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40" xr:uid="{725EDF0A-4FC0-2F4E-AAC7-F6884C915C22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41" xr:uid="{9F36E99D-7E68-1A40-A31C-87E81EA6C3EB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41" xr:uid="{9ED4B3C9-CBB5-E644-8CCD-79CF2446ED27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65" xr:uid="{0CEA2351-7B9C-874F-8E54-B6D4ABC236F2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65" xr:uid="{831AE2AE-6B23-A840-8F1E-1FF1ABBDE203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66" xr:uid="{16C69639-B7FB-1741-95F9-A0980AC71C6E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66" xr:uid="{51892AB6-56A7-A34F-8779-FFAC43B81F60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67" xr:uid="{9C5DBB49-4105-644B-B718-7219D47FA788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67" xr:uid="{62696AB9-DD05-5541-9629-2B50D2CE9099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68" xr:uid="{381F91C9-8016-6B45-BDDD-13AD4F9F3BF2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68" xr:uid="{C35DF339-2991-C44D-9175-18C181739FBB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69" xr:uid="{292E169D-2DF3-3644-8DB8-99C92B388267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69" xr:uid="{5FEC401B-8479-D049-9402-6D5FF82D02AC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70" xr:uid="{1EB3504F-C789-C74E-9573-ED1A067E1317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70" xr:uid="{24AEAA2C-FA39-E84A-BF31-5030B552D6C7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71" xr:uid="{C20EF054-1C35-0F4C-9339-86397933FA4E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71" xr:uid="{02DAC4CE-26CE-224B-B843-A70CCAF6553C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72" xr:uid="{A9CE1CB0-7022-7C4C-BDCF-8CCA7BAEB970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72" xr:uid="{3A398808-E174-7140-AFAA-B0A7AA78E592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73" xr:uid="{EDF6D593-2B53-EA45-8966-9450F8B710C8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73" xr:uid="{A428E7CA-E8AA-A642-A56D-10D8945E7A02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74" xr:uid="{0E9ABCE6-7DFA-674E-95C0-501BEE12982C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74" xr:uid="{1EFA97AC-0857-6B40-B7E5-E05B045AFC46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75" xr:uid="{A28ECB58-D005-1242-87AD-88DC9F773042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75" xr:uid="{19BE4D1C-758D-5640-90A0-8A47ED4A55F4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76" xr:uid="{0F913206-503E-A94C-8D34-75DA66029C72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76" xr:uid="{33F6A035-3615-8F4D-BF68-AF7672A244E6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77" xr:uid="{C9EC29CB-9AE6-ED49-80A2-36137DE70946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77" xr:uid="{ECD1960D-FDFF-8F47-BE33-5723B965D56E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78" xr:uid="{0F0AB6DC-09BF-E645-A8F7-63307F3F814E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78" xr:uid="{919ED23D-EA73-704A-B5CE-C36AA37AE2EF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79" xr:uid="{FA46AD3F-61C9-454A-AB3D-396079270DF8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79" xr:uid="{0EBCEE7B-DA7B-DC47-B57C-F05F9E0A678C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80" xr:uid="{F55E3A59-D74F-DB4D-BE14-552D249182BD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80" xr:uid="{0A6B41E2-A6D5-CC48-B0FA-197FF7295796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83" xr:uid="{C0CFCF92-038B-E24B-86A4-0FB53BC6A8F4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83" xr:uid="{C60168C1-DC5E-C24F-ABF1-EE1256E97BD4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84" xr:uid="{82F0EEE4-F337-C445-A929-A357726DCDF6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84" xr:uid="{2E96F6E1-773A-1142-AE41-F3F350ED00DC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85" xr:uid="{50DD8988-3C65-B144-B579-51F71A785F6B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85" xr:uid="{9D6D7792-361F-1843-9844-41AD659DF215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86" xr:uid="{A831EDEC-9FC4-2946-844C-1FC9E57C73A9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86" xr:uid="{D4BF276D-559D-C540-9E19-A1E13A51612C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87" xr:uid="{2CEBDDB9-C986-634D-AD94-4311F0CAE292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87" xr:uid="{8EE77D03-E708-CA47-9BE9-3C644DB8BB50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88" xr:uid="{BCB07F7F-5D8C-9944-AF8F-5F892DAAA81E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88" xr:uid="{7E830858-8339-EB49-88C9-FE4EE66FB849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89" xr:uid="{1D4BAADC-B2C7-8049-9388-91CCACE0586F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89" xr:uid="{0C5E54EF-5099-534F-9BE1-51953E28DD30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90" xr:uid="{0EE0BF72-5F38-894A-8152-0A150F1C79E1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90" xr:uid="{1D776E9F-883A-0C4A-AC38-0956F9E576C5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93" xr:uid="{81E02867-E471-4B47-8F0C-353581530F34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93" xr:uid="{C98EB4BF-D341-8E47-8A0C-D593D425A4A1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94" xr:uid="{20EE1B50-C7EB-8E40-9087-D2F990AB9ABF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94" xr:uid="{2073B22B-7224-914D-8B04-0A6D908C8A7A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95" xr:uid="{0A7F697F-13A4-C64E-9A9B-CF79698DB917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95" xr:uid="{C04891CD-4B3B-734D-B2F7-2C63635DF552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96" xr:uid="{8974304B-94E4-8546-BA2D-520008B09EB6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96" xr:uid="{D394E579-2235-F847-BC64-1800368B685F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199" xr:uid="{502C205F-4C64-2C4A-8955-74D03FDEF130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199" xr:uid="{D4296BB4-AA2F-B041-A76F-D8D598EC709B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200" xr:uid="{E289ABF5-A496-E244-B418-784917FDCEF0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200" xr:uid="{06B7C5BC-7F95-C140-8548-B15451EB27D0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203" xr:uid="{3A002EB4-6179-4746-A122-0103CD18115A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203" xr:uid="{A1191909-A381-B648-AA04-5BDA2CAC8A1C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E206" xr:uid="{5C440853-944F-C34E-9BA9-244B19DBF7E2}">
      <formula1>0</formula1>
      <formula2>99</formula2>
    </dataValidation>
    <dataValidation type="whole" allowBlank="1" showInputMessage="1" showErrorMessage="1" errorTitle="Valor no válido" error="Solo se permiten números enteros (0-99)." promptTitle="Marcador" prompt="Ingresa un número entero (0-99)" sqref="G206" xr:uid="{4BF045AF-BD6B-3249-8173-FFE6CFB53B98}">
      <formula1>0</formula1>
      <formula2>99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Martinez Fonseca</cp:lastModifiedBy>
  <dcterms:created xsi:type="dcterms:W3CDTF">2026-04-09T01:24:17Z</dcterms:created>
  <dcterms:modified xsi:type="dcterms:W3CDTF">2026-04-09T04:43:07Z</dcterms:modified>
</cp:coreProperties>
</file>